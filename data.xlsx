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rsalan\Project\Sweden\Charging station  and robot planning\"/>
    </mc:Choice>
  </mc:AlternateContent>
  <xr:revisionPtr revIDLastSave="0" documentId="13_ncr:1_{DBA69CF0-ADC8-499C-B031-4D583AF929B5}" xr6:coauthVersionLast="47" xr6:coauthVersionMax="47" xr10:uidLastSave="{00000000-0000-0000-0000-000000000000}"/>
  <bookViews>
    <workbookView xWindow="67080" yWindow="-1035" windowWidth="29040" windowHeight="17520" firstSheet="1" activeTab="3" xr2:uid="{00000000-000D-0000-FFFF-FFFF00000000}"/>
  </bookViews>
  <sheets>
    <sheet name="ParkingData" sheetId="1" r:id="rId1"/>
    <sheet name="ParkingData_ver2" sheetId="3" r:id="rId2"/>
    <sheet name="ParkingData_ver4" sheetId="6" r:id="rId3"/>
    <sheet name="ParkingData_ver5" sheetId="7" r:id="rId4"/>
    <sheet name="Sheet1" sheetId="5" r:id="rId5"/>
    <sheet name="electricicty_price" sheetId="2" r:id="rId6"/>
    <sheet name="DemandPattern" sheetId="4" r:id="rId7"/>
  </sheets>
  <definedNames>
    <definedName name="_xlnm._FilterDatabase" localSheetId="0" hidden="1">ParkingData!$I$1:$I$40</definedName>
    <definedName name="_xlnm._FilterDatabase" localSheetId="1" hidden="1">ParkingData_ver2!$C$1:$C$120</definedName>
    <definedName name="_xlnm._FilterDatabase" localSheetId="2" hidden="1">ParkingData_ver4!$AJ$1:$AJ$229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3" l="1"/>
  <c r="M34" i="3"/>
  <c r="M36" i="3"/>
  <c r="M69" i="3"/>
  <c r="M77" i="3"/>
  <c r="M80" i="3"/>
  <c r="M118" i="3"/>
  <c r="L3" i="3"/>
  <c r="M3" i="3" s="1"/>
  <c r="L6" i="3"/>
  <c r="M6" i="3" s="1"/>
  <c r="L8" i="3"/>
  <c r="M8" i="3" s="1"/>
  <c r="I12" i="3"/>
  <c r="I13" i="3"/>
  <c r="L15" i="3"/>
  <c r="M15" i="3" s="1"/>
  <c r="L21" i="3"/>
  <c r="M21" i="3" s="1"/>
  <c r="L23" i="3"/>
  <c r="M23" i="3" s="1"/>
  <c r="I25" i="3"/>
  <c r="I26" i="3"/>
  <c r="L28" i="3"/>
  <c r="M28" i="3" s="1"/>
  <c r="L31" i="3"/>
  <c r="M31" i="3" s="1"/>
  <c r="L33" i="3"/>
  <c r="M33" i="3" s="1"/>
  <c r="L36" i="3"/>
  <c r="I37" i="3"/>
  <c r="L40" i="3"/>
  <c r="M40" i="3" s="1"/>
  <c r="I43" i="3"/>
  <c r="I45" i="3"/>
  <c r="I49" i="3"/>
  <c r="I50" i="3"/>
  <c r="I55" i="3"/>
  <c r="L57" i="3"/>
  <c r="M57" i="3" s="1"/>
  <c r="I61" i="3"/>
  <c r="I62" i="3"/>
  <c r="L64" i="3"/>
  <c r="M64" i="3" s="1"/>
  <c r="L66" i="3"/>
  <c r="M66" i="3" s="1"/>
  <c r="L69" i="3"/>
  <c r="L71" i="3"/>
  <c r="M71" i="3" s="1"/>
  <c r="I73" i="3"/>
  <c r="L76" i="3"/>
  <c r="M76" i="3" s="1"/>
  <c r="L79" i="3"/>
  <c r="M79" i="3" s="1"/>
  <c r="I81" i="3"/>
  <c r="L84" i="3"/>
  <c r="M84" i="3" s="1"/>
  <c r="I85" i="3"/>
  <c r="I86" i="3"/>
  <c r="L88" i="3"/>
  <c r="M88" i="3" s="1"/>
  <c r="I91" i="3"/>
  <c r="I93" i="3"/>
  <c r="I97" i="3"/>
  <c r="I98" i="3"/>
  <c r="L102" i="3"/>
  <c r="M102" i="3" s="1"/>
  <c r="I103" i="3"/>
  <c r="I105" i="3"/>
  <c r="I109" i="3"/>
  <c r="I110" i="3"/>
  <c r="I112" i="3"/>
  <c r="L117" i="3"/>
  <c r="M117" i="3" s="1"/>
  <c r="L119" i="3"/>
  <c r="M119" i="3" s="1"/>
  <c r="L114" i="3"/>
  <c r="M114" i="3" s="1"/>
  <c r="L90" i="3"/>
  <c r="M90" i="3" s="1"/>
  <c r="L78" i="3"/>
  <c r="M78" i="3" s="1"/>
  <c r="I74" i="3"/>
  <c r="L54" i="3"/>
  <c r="M54" i="3" s="1"/>
  <c r="L42" i="3"/>
  <c r="M42" i="3" s="1"/>
  <c r="I38" i="3"/>
  <c r="I33" i="3"/>
  <c r="L30" i="3"/>
  <c r="M30" i="3" s="1"/>
  <c r="L17" i="3"/>
  <c r="M17" i="3" s="1"/>
  <c r="L7" i="3"/>
  <c r="M7" i="3" s="1"/>
  <c r="L5" i="3"/>
  <c r="M5" i="3" s="1"/>
  <c r="L4" i="3"/>
  <c r="M4" i="3" s="1"/>
  <c r="L9" i="3"/>
  <c r="M9" i="3" s="1"/>
  <c r="L10" i="3"/>
  <c r="M10" i="3" s="1"/>
  <c r="L11" i="3"/>
  <c r="M11" i="3" s="1"/>
  <c r="L14" i="3"/>
  <c r="M14" i="3" s="1"/>
  <c r="L16" i="3"/>
  <c r="M16" i="3" s="1"/>
  <c r="L19" i="3"/>
  <c r="M19" i="3" s="1"/>
  <c r="L20" i="3"/>
  <c r="M20" i="3" s="1"/>
  <c r="L22" i="3"/>
  <c r="M22" i="3" s="1"/>
  <c r="L24" i="3"/>
  <c r="M24" i="3" s="1"/>
  <c r="L27" i="3"/>
  <c r="M27" i="3" s="1"/>
  <c r="L29" i="3"/>
  <c r="M29" i="3" s="1"/>
  <c r="L32" i="3"/>
  <c r="M32" i="3" s="1"/>
  <c r="L34" i="3"/>
  <c r="L35" i="3"/>
  <c r="M35" i="3" s="1"/>
  <c r="L39" i="3"/>
  <c r="M39" i="3" s="1"/>
  <c r="L41" i="3"/>
  <c r="M41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51" i="3"/>
  <c r="M51" i="3" s="1"/>
  <c r="L52" i="3"/>
  <c r="M52" i="3" s="1"/>
  <c r="L53" i="3"/>
  <c r="M53" i="3" s="1"/>
  <c r="L55" i="3"/>
  <c r="M55" i="3" s="1"/>
  <c r="L56" i="3"/>
  <c r="M56" i="3" s="1"/>
  <c r="L58" i="3"/>
  <c r="M58" i="3" s="1"/>
  <c r="L59" i="3"/>
  <c r="M59" i="3" s="1"/>
  <c r="L60" i="3"/>
  <c r="M60" i="3" s="1"/>
  <c r="L63" i="3"/>
  <c r="M63" i="3" s="1"/>
  <c r="L65" i="3"/>
  <c r="M65" i="3" s="1"/>
  <c r="L67" i="3"/>
  <c r="M67" i="3" s="1"/>
  <c r="L68" i="3"/>
  <c r="M68" i="3" s="1"/>
  <c r="L70" i="3"/>
  <c r="M70" i="3" s="1"/>
  <c r="L72" i="3"/>
  <c r="M72" i="3" s="1"/>
  <c r="L75" i="3"/>
  <c r="M75" i="3" s="1"/>
  <c r="L77" i="3"/>
  <c r="L80" i="3"/>
  <c r="L82" i="3"/>
  <c r="M82" i="3" s="1"/>
  <c r="L83" i="3"/>
  <c r="M83" i="3" s="1"/>
  <c r="L87" i="3"/>
  <c r="M87" i="3" s="1"/>
  <c r="L89" i="3"/>
  <c r="M89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9" i="3"/>
  <c r="M99" i="3" s="1"/>
  <c r="L100" i="3"/>
  <c r="M100" i="3" s="1"/>
  <c r="L101" i="3"/>
  <c r="M101" i="3" s="1"/>
  <c r="L103" i="3"/>
  <c r="M103" i="3" s="1"/>
  <c r="L104" i="3"/>
  <c r="M104" i="3" s="1"/>
  <c r="L106" i="3"/>
  <c r="M106" i="3" s="1"/>
  <c r="L107" i="3"/>
  <c r="M107" i="3" s="1"/>
  <c r="L108" i="3"/>
  <c r="M108" i="3" s="1"/>
  <c r="L111" i="3"/>
  <c r="M111" i="3" s="1"/>
  <c r="L113" i="3"/>
  <c r="M113" i="3" s="1"/>
  <c r="L115" i="3"/>
  <c r="M115" i="3" s="1"/>
  <c r="L116" i="3"/>
  <c r="M116" i="3" s="1"/>
  <c r="L118" i="3"/>
  <c r="L120" i="3"/>
  <c r="M120" i="3" s="1"/>
  <c r="L2" i="3"/>
  <c r="M2" i="3" s="1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4" i="3"/>
  <c r="I7" i="3"/>
  <c r="I9" i="3"/>
  <c r="I10" i="3"/>
  <c r="I11" i="3"/>
  <c r="I14" i="3"/>
  <c r="I16" i="3"/>
  <c r="I18" i="3"/>
  <c r="I19" i="3"/>
  <c r="I20" i="3"/>
  <c r="I22" i="3"/>
  <c r="I23" i="3"/>
  <c r="I24" i="3"/>
  <c r="I27" i="3"/>
  <c r="I29" i="3"/>
  <c r="I30" i="3"/>
  <c r="I32" i="3"/>
  <c r="I34" i="3"/>
  <c r="I35" i="3"/>
  <c r="I36" i="3"/>
  <c r="I39" i="3"/>
  <c r="I41" i="3"/>
  <c r="I42" i="3"/>
  <c r="I44" i="3"/>
  <c r="I46" i="3"/>
  <c r="I47" i="3"/>
  <c r="I48" i="3"/>
  <c r="I51" i="3"/>
  <c r="I52" i="3"/>
  <c r="I53" i="3"/>
  <c r="I54" i="3"/>
  <c r="I56" i="3"/>
  <c r="I58" i="3"/>
  <c r="I59" i="3"/>
  <c r="I60" i="3"/>
  <c r="I63" i="3"/>
  <c r="I65" i="3"/>
  <c r="I66" i="3"/>
  <c r="I67" i="3"/>
  <c r="I68" i="3"/>
  <c r="I70" i="3"/>
  <c r="I71" i="3"/>
  <c r="I72" i="3"/>
  <c r="I75" i="3"/>
  <c r="I77" i="3"/>
  <c r="I78" i="3"/>
  <c r="I80" i="3"/>
  <c r="I82" i="3"/>
  <c r="I83" i="3"/>
  <c r="I84" i="3"/>
  <c r="I87" i="3"/>
  <c r="I89" i="3"/>
  <c r="I90" i="3"/>
  <c r="I92" i="3"/>
  <c r="I94" i="3"/>
  <c r="I95" i="3"/>
  <c r="I96" i="3"/>
  <c r="I99" i="3"/>
  <c r="I100" i="3"/>
  <c r="I101" i="3"/>
  <c r="I102" i="3"/>
  <c r="I104" i="3"/>
  <c r="I106" i="3"/>
  <c r="I107" i="3"/>
  <c r="I108" i="3"/>
  <c r="I111" i="3"/>
  <c r="I113" i="3"/>
  <c r="I114" i="3"/>
  <c r="I115" i="3"/>
  <c r="I116" i="3"/>
  <c r="I117" i="3"/>
  <c r="I118" i="3"/>
  <c r="I119" i="3"/>
  <c r="I120" i="3"/>
  <c r="I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" i="1"/>
  <c r="I4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2" i="1"/>
  <c r="L81" i="3" l="1"/>
  <c r="M81" i="3" s="1"/>
  <c r="I8" i="3"/>
  <c r="I64" i="3"/>
  <c r="I15" i="3"/>
  <c r="L112" i="3"/>
  <c r="M112" i="3" s="1"/>
  <c r="I79" i="3"/>
  <c r="I31" i="3"/>
  <c r="I76" i="3"/>
  <c r="I28" i="3"/>
  <c r="I21" i="3"/>
  <c r="I57" i="3"/>
  <c r="L105" i="3"/>
  <c r="M105" i="3" s="1"/>
  <c r="I88" i="3"/>
  <c r="I40" i="3"/>
  <c r="I6" i="3"/>
  <c r="I69" i="3"/>
  <c r="I3" i="3"/>
  <c r="L110" i="3"/>
  <c r="M110" i="3" s="1"/>
  <c r="L98" i="3"/>
  <c r="M98" i="3" s="1"/>
  <c r="L86" i="3"/>
  <c r="M86" i="3" s="1"/>
  <c r="L74" i="3"/>
  <c r="M74" i="3" s="1"/>
  <c r="L62" i="3"/>
  <c r="M62" i="3" s="1"/>
  <c r="L50" i="3"/>
  <c r="M50" i="3" s="1"/>
  <c r="L38" i="3"/>
  <c r="M38" i="3" s="1"/>
  <c r="L26" i="3"/>
  <c r="M26" i="3" s="1"/>
  <c r="L13" i="3"/>
  <c r="M13" i="3" s="1"/>
  <c r="L109" i="3"/>
  <c r="M109" i="3" s="1"/>
  <c r="L97" i="3"/>
  <c r="M97" i="3" s="1"/>
  <c r="L85" i="3"/>
  <c r="M85" i="3" s="1"/>
  <c r="L73" i="3"/>
  <c r="M73" i="3" s="1"/>
  <c r="L61" i="3"/>
  <c r="M61" i="3" s="1"/>
  <c r="L49" i="3"/>
  <c r="M49" i="3" s="1"/>
  <c r="L37" i="3"/>
  <c r="M37" i="3" s="1"/>
  <c r="L25" i="3"/>
  <c r="M25" i="3" s="1"/>
  <c r="L12" i="3"/>
  <c r="M12" i="3" s="1"/>
  <c r="I17" i="3"/>
  <c r="I5" i="3"/>
</calcChain>
</file>

<file path=xl/sharedStrings.xml><?xml version="1.0" encoding="utf-8"?>
<sst xmlns="http://schemas.openxmlformats.org/spreadsheetml/2006/main" count="2925" uniqueCount="1848">
  <si>
    <t>EV</t>
  </si>
  <si>
    <t>AT</t>
  </si>
  <si>
    <t>DT</t>
  </si>
  <si>
    <t>SOCin</t>
  </si>
  <si>
    <t>SOCout</t>
  </si>
  <si>
    <t>Price</t>
  </si>
  <si>
    <t>EVcap</t>
  </si>
  <si>
    <t>ParkingNo</t>
  </si>
  <si>
    <t>Pattern</t>
  </si>
  <si>
    <t>ParkingNoMain</t>
  </si>
  <si>
    <t>chargerId</t>
  </si>
  <si>
    <t>xCoord</t>
  </si>
  <si>
    <t>yCoord</t>
  </si>
  <si>
    <t>vehicleId</t>
  </si>
  <si>
    <t>startTime_matsim</t>
  </si>
  <si>
    <t>startTime_24h</t>
  </si>
  <si>
    <t>startTime</t>
  </si>
  <si>
    <t>startDay</t>
  </si>
  <si>
    <t>endTime_matsim</t>
  </si>
  <si>
    <t>endTime_24h</t>
  </si>
  <si>
    <t>endTime</t>
  </si>
  <si>
    <t>endDay</t>
  </si>
  <si>
    <t>chargingDuration</t>
  </si>
  <si>
    <t>unplugTime_matsim</t>
  </si>
  <si>
    <t>unplugTime_24h</t>
  </si>
  <si>
    <t>unplugTime</t>
  </si>
  <si>
    <t>unplugDay</t>
  </si>
  <si>
    <t>pluggedDuration</t>
  </si>
  <si>
    <t>chargingRatio</t>
  </si>
  <si>
    <t>startSoc</t>
  </si>
  <si>
    <t>startSoc_kWh</t>
  </si>
  <si>
    <t>endSoc</t>
  </si>
  <si>
    <t>endSoc_kWh</t>
  </si>
  <si>
    <t>transmittedEnergy_kWh</t>
  </si>
  <si>
    <t>walkingDistance</t>
  </si>
  <si>
    <t>startTime_hrs</t>
  </si>
  <si>
    <t>endTime_hrs</t>
  </si>
  <si>
    <t>chargerType</t>
  </si>
  <si>
    <t>startHour</t>
  </si>
  <si>
    <t>start_sec</t>
  </si>
  <si>
    <t>end_sec</t>
  </si>
  <si>
    <t>Duration</t>
  </si>
  <si>
    <t>7617759_work</t>
  </si>
  <si>
    <t>37:07:45</t>
  </si>
  <si>
    <t>13:07:45</t>
  </si>
  <si>
    <t>39:57:11</t>
  </si>
  <si>
    <t>15:57:11</t>
  </si>
  <si>
    <t>Work</t>
  </si>
  <si>
    <t>2060040_work</t>
  </si>
  <si>
    <t>33:29:48</t>
  </si>
  <si>
    <t>09:29:48</t>
  </si>
  <si>
    <t>36:19:14</t>
  </si>
  <si>
    <t>12:19:14</t>
  </si>
  <si>
    <t>41:25:57</t>
  </si>
  <si>
    <t>17:25:57</t>
  </si>
  <si>
    <t>8121085_work</t>
  </si>
  <si>
    <t>30:41:21</t>
  </si>
  <si>
    <t>06:41:21</t>
  </si>
  <si>
    <t>33:30:54</t>
  </si>
  <si>
    <t>09:30:54</t>
  </si>
  <si>
    <t>39:11:24</t>
  </si>
  <si>
    <t>15:11:24</t>
  </si>
  <si>
    <t>1876107_work</t>
  </si>
  <si>
    <t>32:50:46</t>
  </si>
  <si>
    <t>08:50:46</t>
  </si>
  <si>
    <t>35:40:29</t>
  </si>
  <si>
    <t>11:40:29</t>
  </si>
  <si>
    <t>40:33:19</t>
  </si>
  <si>
    <t>16:33:19</t>
  </si>
  <si>
    <t>1838297_work</t>
  </si>
  <si>
    <t>36:49:01</t>
  </si>
  <si>
    <t>12:49:01</t>
  </si>
  <si>
    <t>39:38:49</t>
  </si>
  <si>
    <t>15:38:49</t>
  </si>
  <si>
    <t>45:19:18</t>
  </si>
  <si>
    <t>21:19:18</t>
  </si>
  <si>
    <t>1938592_work</t>
  </si>
  <si>
    <t>32:01:42</t>
  </si>
  <si>
    <t>08:01:42</t>
  </si>
  <si>
    <t>34:51:49</t>
  </si>
  <si>
    <t>10:51:49</t>
  </si>
  <si>
    <t>41:27:39</t>
  </si>
  <si>
    <t>17:27:39</t>
  </si>
  <si>
    <t>public_1476345848</t>
  </si>
  <si>
    <t>45:53:10</t>
  </si>
  <si>
    <t>21:53:10</t>
  </si>
  <si>
    <t>48:43:24</t>
  </si>
  <si>
    <t>23:56:54</t>
  </si>
  <si>
    <t>55:26:44</t>
  </si>
  <si>
    <t>07:26:44</t>
  </si>
  <si>
    <t>Public</t>
  </si>
  <si>
    <t>1879008_work</t>
  </si>
  <si>
    <t>38:09:34</t>
  </si>
  <si>
    <t>14:09:34</t>
  </si>
  <si>
    <t>40:59:58</t>
  </si>
  <si>
    <t>16:59:58</t>
  </si>
  <si>
    <t>public_1476277497</t>
  </si>
  <si>
    <t>45:34:35</t>
  </si>
  <si>
    <t>21:34:35</t>
  </si>
  <si>
    <t>48:25:04</t>
  </si>
  <si>
    <t>56:12:49</t>
  </si>
  <si>
    <t>08:12:49</t>
  </si>
  <si>
    <t>9513848_work</t>
  </si>
  <si>
    <t>32:20:14</t>
  </si>
  <si>
    <t>08:20:14</t>
  </si>
  <si>
    <t>35:10:44</t>
  </si>
  <si>
    <t>11:10:44</t>
  </si>
  <si>
    <t>39:20:12</t>
  </si>
  <si>
    <t>15:20:12</t>
  </si>
  <si>
    <t>4771738_work</t>
  </si>
  <si>
    <t>30:57:48</t>
  </si>
  <si>
    <t>06:57:48</t>
  </si>
  <si>
    <t>33:48:44</t>
  </si>
  <si>
    <t>09:48:44</t>
  </si>
  <si>
    <t>39:56:59</t>
  </si>
  <si>
    <t>15:56:59</t>
  </si>
  <si>
    <t>5412813_work</t>
  </si>
  <si>
    <t>33:24:10</t>
  </si>
  <si>
    <t>09:24:10</t>
  </si>
  <si>
    <t>36:15:09</t>
  </si>
  <si>
    <t>12:15:09</t>
  </si>
  <si>
    <t>40:16:29</t>
  </si>
  <si>
    <t>16:16:29</t>
  </si>
  <si>
    <t>2129003_work</t>
  </si>
  <si>
    <t>30:39:07</t>
  </si>
  <si>
    <t>06:39:07</t>
  </si>
  <si>
    <t>33:30:24</t>
  </si>
  <si>
    <t>09:30:24</t>
  </si>
  <si>
    <t>40:44:20</t>
  </si>
  <si>
    <t>16:44:20</t>
  </si>
  <si>
    <t>9447416_work</t>
  </si>
  <si>
    <t>32:46:25</t>
  </si>
  <si>
    <t>08:46:25</t>
  </si>
  <si>
    <t>35:37:49</t>
  </si>
  <si>
    <t>11:37:49</t>
  </si>
  <si>
    <t>40:05:41</t>
  </si>
  <si>
    <t>16:05:41</t>
  </si>
  <si>
    <t>10050104_work</t>
  </si>
  <si>
    <t>33:19:51</t>
  </si>
  <si>
    <t>09:19:51</t>
  </si>
  <si>
    <t>36:11:24</t>
  </si>
  <si>
    <t>12:11:24</t>
  </si>
  <si>
    <t>42:14:54</t>
  </si>
  <si>
    <t>18:14:54</t>
  </si>
  <si>
    <t>2325525_work</t>
  </si>
  <si>
    <t>31:18:13</t>
  </si>
  <si>
    <t>07:18:13</t>
  </si>
  <si>
    <t>34:09:49</t>
  </si>
  <si>
    <t>10:09:49</t>
  </si>
  <si>
    <t>40:26:18</t>
  </si>
  <si>
    <t>16:26:18</t>
  </si>
  <si>
    <t>9488749_work</t>
  </si>
  <si>
    <t>32:51:55</t>
  </si>
  <si>
    <t>08:51:55</t>
  </si>
  <si>
    <t>35:43:44</t>
  </si>
  <si>
    <t>11:43:44</t>
  </si>
  <si>
    <t>40:51:15</t>
  </si>
  <si>
    <t>16:51:15</t>
  </si>
  <si>
    <t>2002317_work</t>
  </si>
  <si>
    <t>29:55:31</t>
  </si>
  <si>
    <t>05:55:31</t>
  </si>
  <si>
    <t>32:47:39</t>
  </si>
  <si>
    <t>08:47:39</t>
  </si>
  <si>
    <t>39:49:40</t>
  </si>
  <si>
    <t>15:49:40</t>
  </si>
  <si>
    <t>9534794_work</t>
  </si>
  <si>
    <t>32:55:18</t>
  </si>
  <si>
    <t>08:55:18</t>
  </si>
  <si>
    <t>35:47:49</t>
  </si>
  <si>
    <t>11:47:49</t>
  </si>
  <si>
    <t>40:05:24</t>
  </si>
  <si>
    <t>16:05:24</t>
  </si>
  <si>
    <t>9458980_work</t>
  </si>
  <si>
    <t>33:02:38</t>
  </si>
  <si>
    <t>09:02:38</t>
  </si>
  <si>
    <t>35:55:09</t>
  </si>
  <si>
    <t>11:55:09</t>
  </si>
  <si>
    <t>42:50:58</t>
  </si>
  <si>
    <t>18:50:58</t>
  </si>
  <si>
    <t>4792786_work</t>
  </si>
  <si>
    <t>31:42:35</t>
  </si>
  <si>
    <t>07:42:35</t>
  </si>
  <si>
    <t>34:35:14</t>
  </si>
  <si>
    <t>10:35:14</t>
  </si>
  <si>
    <t>40:48:21</t>
  </si>
  <si>
    <t>16:48:21</t>
  </si>
  <si>
    <t>2080694_work</t>
  </si>
  <si>
    <t>32:00:39</t>
  </si>
  <si>
    <t>08:00:39</t>
  </si>
  <si>
    <t>34:53:29</t>
  </si>
  <si>
    <t>10:53:29</t>
  </si>
  <si>
    <t>41:44:33</t>
  </si>
  <si>
    <t>17:44:33</t>
  </si>
  <si>
    <t>1942028_work</t>
  </si>
  <si>
    <t>33:31:05</t>
  </si>
  <si>
    <t>09:31:05</t>
  </si>
  <si>
    <t>36:24:04</t>
  </si>
  <si>
    <t>12:24:04</t>
  </si>
  <si>
    <t>41:56:43</t>
  </si>
  <si>
    <t>17:56:43</t>
  </si>
  <si>
    <t>4921947_work</t>
  </si>
  <si>
    <t>30:07:38</t>
  </si>
  <si>
    <t>06:07:38</t>
  </si>
  <si>
    <t>33:00:54</t>
  </si>
  <si>
    <t>09:00:54</t>
  </si>
  <si>
    <t>38:33:14</t>
  </si>
  <si>
    <t>14:33:14</t>
  </si>
  <si>
    <t>7465779_work</t>
  </si>
  <si>
    <t>31:13:35</t>
  </si>
  <si>
    <t>07:13:35</t>
  </si>
  <si>
    <t>34:07:04</t>
  </si>
  <si>
    <t>10:07:04</t>
  </si>
  <si>
    <t>39:58:38</t>
  </si>
  <si>
    <t>15:58:38</t>
  </si>
  <si>
    <t>8273860_work</t>
  </si>
  <si>
    <t>30:34:38</t>
  </si>
  <si>
    <t>06:34:38</t>
  </si>
  <si>
    <t>33:28:14</t>
  </si>
  <si>
    <t>09:28:14</t>
  </si>
  <si>
    <t>39:52:27</t>
  </si>
  <si>
    <t>15:52:27</t>
  </si>
  <si>
    <t>4922092_work</t>
  </si>
  <si>
    <t>37:01:36</t>
  </si>
  <si>
    <t>13:01:36</t>
  </si>
  <si>
    <t>39:55:44</t>
  </si>
  <si>
    <t>15:55:44</t>
  </si>
  <si>
    <t>2037268_work</t>
  </si>
  <si>
    <t>31:53:34</t>
  </si>
  <si>
    <t>07:53:34</t>
  </si>
  <si>
    <t>34:48:04</t>
  </si>
  <si>
    <t>10:48:04</t>
  </si>
  <si>
    <t>42:04:13</t>
  </si>
  <si>
    <t>18:04:13</t>
  </si>
  <si>
    <t>2047565_work</t>
  </si>
  <si>
    <t>32:55:40</t>
  </si>
  <si>
    <t>08:55:40</t>
  </si>
  <si>
    <t>35:50:24</t>
  </si>
  <si>
    <t>11:50:24</t>
  </si>
  <si>
    <t>36:18:26</t>
  </si>
  <si>
    <t>12:18:26</t>
  </si>
  <si>
    <t>public_1476127440</t>
  </si>
  <si>
    <t>28:08:41</t>
  </si>
  <si>
    <t>04:08:41</t>
  </si>
  <si>
    <t>31:03:29</t>
  </si>
  <si>
    <t>07:03:29</t>
  </si>
  <si>
    <t>37:55:14</t>
  </si>
  <si>
    <t>13:55:14</t>
  </si>
  <si>
    <t>1897937_work</t>
  </si>
  <si>
    <t>36:58:19</t>
  </si>
  <si>
    <t>12:58:19</t>
  </si>
  <si>
    <t>39:53:54</t>
  </si>
  <si>
    <t>15:53:54</t>
  </si>
  <si>
    <t>40:22:14</t>
  </si>
  <si>
    <t>16:22:14</t>
  </si>
  <si>
    <t>9463397_work</t>
  </si>
  <si>
    <t>38:24:04</t>
  </si>
  <si>
    <t>14:24:04</t>
  </si>
  <si>
    <t>41:19:53</t>
  </si>
  <si>
    <t>17:19:53</t>
  </si>
  <si>
    <t>4680221_work</t>
  </si>
  <si>
    <t>30:25:43</t>
  </si>
  <si>
    <t>06:25:43</t>
  </si>
  <si>
    <t>33:21:49</t>
  </si>
  <si>
    <t>09:21:49</t>
  </si>
  <si>
    <t>34:36:22</t>
  </si>
  <si>
    <t>10:36:22</t>
  </si>
  <si>
    <t>4777988_work</t>
  </si>
  <si>
    <t>32:54:08</t>
  </si>
  <si>
    <t>08:54:08</t>
  </si>
  <si>
    <t>35:50:39</t>
  </si>
  <si>
    <t>11:50:39</t>
  </si>
  <si>
    <t>40:48:57</t>
  </si>
  <si>
    <t>16:48:57</t>
  </si>
  <si>
    <t>8120891_work</t>
  </si>
  <si>
    <t>32:13:13</t>
  </si>
  <si>
    <t>08:13:13</t>
  </si>
  <si>
    <t>36:02:29</t>
  </si>
  <si>
    <t>12:02:29</t>
  </si>
  <si>
    <t>40:28:46</t>
  </si>
  <si>
    <t>16:28:46</t>
  </si>
  <si>
    <t>4737640_work</t>
  </si>
  <si>
    <t>33:30:39</t>
  </si>
  <si>
    <t>09:30:39</t>
  </si>
  <si>
    <t>37:20:39</t>
  </si>
  <si>
    <t>13:20:39</t>
  </si>
  <si>
    <t>38:45:05</t>
  </si>
  <si>
    <t>14:45:05</t>
  </si>
  <si>
    <t>2322228_work</t>
  </si>
  <si>
    <t>30:57:44</t>
  </si>
  <si>
    <t>06:57:44</t>
  </si>
  <si>
    <t>34:47:44</t>
  </si>
  <si>
    <t>10:47:44</t>
  </si>
  <si>
    <t>40:40:56</t>
  </si>
  <si>
    <t>16:40:56</t>
  </si>
  <si>
    <t>9509853_work</t>
  </si>
  <si>
    <t>30:25:22</t>
  </si>
  <si>
    <t>06:25:22</t>
  </si>
  <si>
    <t>34:15:34</t>
  </si>
  <si>
    <t>10:15:34</t>
  </si>
  <si>
    <t>40:24:31</t>
  </si>
  <si>
    <t>16:24:31</t>
  </si>
  <si>
    <t>1939232_work</t>
  </si>
  <si>
    <t>30:52:00</t>
  </si>
  <si>
    <t>06:52:00</t>
  </si>
  <si>
    <t>34:42:45</t>
  </si>
  <si>
    <t>10:42:45</t>
  </si>
  <si>
    <t>4765700_work</t>
  </si>
  <si>
    <t>30:59:10</t>
  </si>
  <si>
    <t>06:59:10</t>
  </si>
  <si>
    <t>34:50:19</t>
  </si>
  <si>
    <t>10:50:19</t>
  </si>
  <si>
    <t>39:41:14</t>
  </si>
  <si>
    <t>15:41:14</t>
  </si>
  <si>
    <t>2323217_work</t>
  </si>
  <si>
    <t>33:46:42</t>
  </si>
  <si>
    <t>09:46:42</t>
  </si>
  <si>
    <t>37:38:24</t>
  </si>
  <si>
    <t>13:38:24</t>
  </si>
  <si>
    <t>40:56:20</t>
  </si>
  <si>
    <t>16:56:20</t>
  </si>
  <si>
    <t>2015769_work</t>
  </si>
  <si>
    <t>31:46:31</t>
  </si>
  <si>
    <t>07:46:31</t>
  </si>
  <si>
    <t>35:38:34</t>
  </si>
  <si>
    <t>11:38:34</t>
  </si>
  <si>
    <t>39:00:19</t>
  </si>
  <si>
    <t>15:00:19</t>
  </si>
  <si>
    <t>9483468_work</t>
  </si>
  <si>
    <t>33:03:06</t>
  </si>
  <si>
    <t>09:03:06</t>
  </si>
  <si>
    <t>36:56:29</t>
  </si>
  <si>
    <t>12:56:29</t>
  </si>
  <si>
    <t>42:09:35</t>
  </si>
  <si>
    <t>18:09:35</t>
  </si>
  <si>
    <t>1922151_work</t>
  </si>
  <si>
    <t>32:33:12</t>
  </si>
  <si>
    <t>08:33:12</t>
  </si>
  <si>
    <t>36:26:49</t>
  </si>
  <si>
    <t>12:26:49</t>
  </si>
  <si>
    <t>40:15:12</t>
  </si>
  <si>
    <t>16:15:12</t>
  </si>
  <si>
    <t>1967625_work</t>
  </si>
  <si>
    <t>34:17:23</t>
  </si>
  <si>
    <t>10:17:23</t>
  </si>
  <si>
    <t>38:11:19</t>
  </si>
  <si>
    <t>14:11:19</t>
  </si>
  <si>
    <t>41:22:08</t>
  </si>
  <si>
    <t>17:22:08</t>
  </si>
  <si>
    <t>4737561_work</t>
  </si>
  <si>
    <t>34:59:50</t>
  </si>
  <si>
    <t>10:59:50</t>
  </si>
  <si>
    <t>38:56:14</t>
  </si>
  <si>
    <t>14:56:14</t>
  </si>
  <si>
    <t>42:06:20</t>
  </si>
  <si>
    <t>18:06:20</t>
  </si>
  <si>
    <t>4784838_work</t>
  </si>
  <si>
    <t>33:02:00</t>
  </si>
  <si>
    <t>09:02:00</t>
  </si>
  <si>
    <t>36:58:54</t>
  </si>
  <si>
    <t>12:58:54</t>
  </si>
  <si>
    <t>37:03:14</t>
  </si>
  <si>
    <t>13:03:14</t>
  </si>
  <si>
    <t>9423399_work</t>
  </si>
  <si>
    <t>36:32:17</t>
  </si>
  <si>
    <t>12:32:17</t>
  </si>
  <si>
    <t>40:29:54</t>
  </si>
  <si>
    <t>16:29:54</t>
  </si>
  <si>
    <t>40:38:03</t>
  </si>
  <si>
    <t>16:38:03</t>
  </si>
  <si>
    <t>7367034_work</t>
  </si>
  <si>
    <t>31:26:07</t>
  </si>
  <si>
    <t>07:26:07</t>
  </si>
  <si>
    <t>35:24:04</t>
  </si>
  <si>
    <t>11:24:04</t>
  </si>
  <si>
    <t>40:44:35</t>
  </si>
  <si>
    <t>16:44:35</t>
  </si>
  <si>
    <t>4588097_work</t>
  </si>
  <si>
    <t>30:38:52</t>
  </si>
  <si>
    <t>06:38:52</t>
  </si>
  <si>
    <t>34:37:44</t>
  </si>
  <si>
    <t>10:37:44</t>
  </si>
  <si>
    <t>39:07:37</t>
  </si>
  <si>
    <t>15:07:37</t>
  </si>
  <si>
    <t>2210614_work</t>
  </si>
  <si>
    <t>32:17:08</t>
  </si>
  <si>
    <t>08:17:08</t>
  </si>
  <si>
    <t>36:18:14</t>
  </si>
  <si>
    <t>12:18:14</t>
  </si>
  <si>
    <t>39:49:00</t>
  </si>
  <si>
    <t>15:49:00</t>
  </si>
  <si>
    <t>7315350_work</t>
  </si>
  <si>
    <t>33:26:46</t>
  </si>
  <si>
    <t>09:26:46</t>
  </si>
  <si>
    <t>37:27:59</t>
  </si>
  <si>
    <t>13:27:59</t>
  </si>
  <si>
    <t>40:36:24</t>
  </si>
  <si>
    <t>16:36:24</t>
  </si>
  <si>
    <t>7566536_work</t>
  </si>
  <si>
    <t>31:10:10</t>
  </si>
  <si>
    <t>07:10:10</t>
  </si>
  <si>
    <t>35:11:34</t>
  </si>
  <si>
    <t>11:11:34</t>
  </si>
  <si>
    <t>41:18:37</t>
  </si>
  <si>
    <t>17:18:37</t>
  </si>
  <si>
    <t>2000658_work</t>
  </si>
  <si>
    <t>32:11:05</t>
  </si>
  <si>
    <t>08:11:05</t>
  </si>
  <si>
    <t>36:12:39</t>
  </si>
  <si>
    <t>12:12:39</t>
  </si>
  <si>
    <t>40:01:07</t>
  </si>
  <si>
    <t>16:01:07</t>
  </si>
  <si>
    <t>2041965_work</t>
  </si>
  <si>
    <t>33:23:45</t>
  </si>
  <si>
    <t>09:23:45</t>
  </si>
  <si>
    <t>37:25:44</t>
  </si>
  <si>
    <t>13:25:44</t>
  </si>
  <si>
    <t>41:40:31</t>
  </si>
  <si>
    <t>17:40:31</t>
  </si>
  <si>
    <t>1968463_work</t>
  </si>
  <si>
    <t>30:47:58</t>
  </si>
  <si>
    <t>06:47:58</t>
  </si>
  <si>
    <t>34:50:14</t>
  </si>
  <si>
    <t>10:50:14</t>
  </si>
  <si>
    <t>35:05:36</t>
  </si>
  <si>
    <t>11:05:36</t>
  </si>
  <si>
    <t>7491913_work</t>
  </si>
  <si>
    <t>33:02:32</t>
  </si>
  <si>
    <t>09:02:32</t>
  </si>
  <si>
    <t>37:04:59</t>
  </si>
  <si>
    <t>13:04:59</t>
  </si>
  <si>
    <t>41:33:45</t>
  </si>
  <si>
    <t>17:33:45</t>
  </si>
  <si>
    <t>9412970_work</t>
  </si>
  <si>
    <t>36:57:02</t>
  </si>
  <si>
    <t>12:57:02</t>
  </si>
  <si>
    <t>40:59:34</t>
  </si>
  <si>
    <t>16:59:34</t>
  </si>
  <si>
    <t>41:08:21</t>
  </si>
  <si>
    <t>17:08:21</t>
  </si>
  <si>
    <t>1943685_work</t>
  </si>
  <si>
    <t>33:41:46</t>
  </si>
  <si>
    <t>09:41:46</t>
  </si>
  <si>
    <t>37:44:54</t>
  </si>
  <si>
    <t>13:44:54</t>
  </si>
  <si>
    <t>41:54:13</t>
  </si>
  <si>
    <t>17:54:13</t>
  </si>
  <si>
    <t>7369122_work</t>
  </si>
  <si>
    <t>33:31:42</t>
  </si>
  <si>
    <t>09:31:42</t>
  </si>
  <si>
    <t>37:35:29</t>
  </si>
  <si>
    <t>13:35:29</t>
  </si>
  <si>
    <t>41:28:50</t>
  </si>
  <si>
    <t>17:28:50</t>
  </si>
  <si>
    <t>4736479_work</t>
  </si>
  <si>
    <t>35:45:25</t>
  </si>
  <si>
    <t>11:45:25</t>
  </si>
  <si>
    <t>39:49:43</t>
  </si>
  <si>
    <t>15:49:43</t>
  </si>
  <si>
    <t>2126159_work</t>
  </si>
  <si>
    <t>35:09:00</t>
  </si>
  <si>
    <t>11:09:00</t>
  </si>
  <si>
    <t>39:13:29</t>
  </si>
  <si>
    <t>15:13:29</t>
  </si>
  <si>
    <t>40:28:33</t>
  </si>
  <si>
    <t>16:28:33</t>
  </si>
  <si>
    <t>7422158_work</t>
  </si>
  <si>
    <t>32:18:46</t>
  </si>
  <si>
    <t>08:18:46</t>
  </si>
  <si>
    <t>36:23:39</t>
  </si>
  <si>
    <t>12:23:39</t>
  </si>
  <si>
    <t>40:49:32</t>
  </si>
  <si>
    <t>16:49:32</t>
  </si>
  <si>
    <t>4739092_work</t>
  </si>
  <si>
    <t>36:28:03</t>
  </si>
  <si>
    <t>12:28:03</t>
  </si>
  <si>
    <t>40:33:05</t>
  </si>
  <si>
    <t>16:33:05</t>
  </si>
  <si>
    <t>7373234_work</t>
  </si>
  <si>
    <t>32:10:59</t>
  </si>
  <si>
    <t>08:10:59</t>
  </si>
  <si>
    <t>36:16:09</t>
  </si>
  <si>
    <t>12:16:09</t>
  </si>
  <si>
    <t>36:24:06</t>
  </si>
  <si>
    <t>12:24:06</t>
  </si>
  <si>
    <t>2046331_work</t>
  </si>
  <si>
    <t>32:00:17</t>
  </si>
  <si>
    <t>08:00:17</t>
  </si>
  <si>
    <t>36:06:29</t>
  </si>
  <si>
    <t>12:06:29</t>
  </si>
  <si>
    <t>40:51:54</t>
  </si>
  <si>
    <t>16:51:54</t>
  </si>
  <si>
    <t>9523093_work</t>
  </si>
  <si>
    <t>35:32:48</t>
  </si>
  <si>
    <t>11:32:48</t>
  </si>
  <si>
    <t>39:39:49</t>
  </si>
  <si>
    <t>15:39:49</t>
  </si>
  <si>
    <t>42:18:28</t>
  </si>
  <si>
    <t>18:18:28</t>
  </si>
  <si>
    <t>4662439_work</t>
  </si>
  <si>
    <t>30:38:13</t>
  </si>
  <si>
    <t>06:38:13</t>
  </si>
  <si>
    <t>34:45:19</t>
  </si>
  <si>
    <t>10:45:19</t>
  </si>
  <si>
    <t>39:37:07</t>
  </si>
  <si>
    <t>15:37:07</t>
  </si>
  <si>
    <t>9543013_work</t>
  </si>
  <si>
    <t>31:07:21</t>
  </si>
  <si>
    <t>07:07:21</t>
  </si>
  <si>
    <t>35:15:04</t>
  </si>
  <si>
    <t>11:15:04</t>
  </si>
  <si>
    <t>39:52:46</t>
  </si>
  <si>
    <t>15:52:46</t>
  </si>
  <si>
    <t>9553363_work</t>
  </si>
  <si>
    <t>29:49:14</t>
  </si>
  <si>
    <t>05:49:14</t>
  </si>
  <si>
    <t>33:57:39</t>
  </si>
  <si>
    <t>09:57:39</t>
  </si>
  <si>
    <t>39:42:04</t>
  </si>
  <si>
    <t>15:42:04</t>
  </si>
  <si>
    <t>1876446_work</t>
  </si>
  <si>
    <t>29:48:28</t>
  </si>
  <si>
    <t>05:48:28</t>
  </si>
  <si>
    <t>33:56:54</t>
  </si>
  <si>
    <t>09:56:54</t>
  </si>
  <si>
    <t>34:27:41</t>
  </si>
  <si>
    <t>10:27:41</t>
  </si>
  <si>
    <t>2108847_work</t>
  </si>
  <si>
    <t>35:36:48</t>
  </si>
  <si>
    <t>11:36:48</t>
  </si>
  <si>
    <t>39:45:14</t>
  </si>
  <si>
    <t>15:45:14</t>
  </si>
  <si>
    <t>42:07:30</t>
  </si>
  <si>
    <t>18:07:30</t>
  </si>
  <si>
    <t>2016869_work</t>
  </si>
  <si>
    <t>34:30:22</t>
  </si>
  <si>
    <t>10:30:22</t>
  </si>
  <si>
    <t>38:38:59</t>
  </si>
  <si>
    <t>14:38:59</t>
  </si>
  <si>
    <t>40:55:26</t>
  </si>
  <si>
    <t>16:55:26</t>
  </si>
  <si>
    <t>4737853_work</t>
  </si>
  <si>
    <t>32:21:50</t>
  </si>
  <si>
    <t>08:21:50</t>
  </si>
  <si>
    <t>36:30:59</t>
  </si>
  <si>
    <t>12:30:59</t>
  </si>
  <si>
    <t>39:52:12</t>
  </si>
  <si>
    <t>15:52:12</t>
  </si>
  <si>
    <t>2128495_work</t>
  </si>
  <si>
    <t>31:52:08</t>
  </si>
  <si>
    <t>07:52:08</t>
  </si>
  <si>
    <t>36:02:04</t>
  </si>
  <si>
    <t>12:02:04</t>
  </si>
  <si>
    <t>41:14:52</t>
  </si>
  <si>
    <t>17:14:52</t>
  </si>
  <si>
    <t>1879453_work</t>
  </si>
  <si>
    <t>38:48:56</t>
  </si>
  <si>
    <t>14:48:56</t>
  </si>
  <si>
    <t>42:58:55</t>
  </si>
  <si>
    <t>18:58:55</t>
  </si>
  <si>
    <t>4603563_work</t>
  </si>
  <si>
    <t>30:21:57</t>
  </si>
  <si>
    <t>06:21:57</t>
  </si>
  <si>
    <t>34:32:24</t>
  </si>
  <si>
    <t>10:32:24</t>
  </si>
  <si>
    <t>34:50:23</t>
  </si>
  <si>
    <t>10:50:23</t>
  </si>
  <si>
    <t>1865848_work</t>
  </si>
  <si>
    <t>37:06:57</t>
  </si>
  <si>
    <t>13:06:57</t>
  </si>
  <si>
    <t>41:18:14</t>
  </si>
  <si>
    <t>17:18:14</t>
  </si>
  <si>
    <t>41:28:05</t>
  </si>
  <si>
    <t>17:28:05</t>
  </si>
  <si>
    <t>1925698_work</t>
  </si>
  <si>
    <t>32:58:14</t>
  </si>
  <si>
    <t>08:58:14</t>
  </si>
  <si>
    <t>37:11:04</t>
  </si>
  <si>
    <t>13:11:04</t>
  </si>
  <si>
    <t>41:04:35</t>
  </si>
  <si>
    <t>17:04:35</t>
  </si>
  <si>
    <t>2016242_work</t>
  </si>
  <si>
    <t>33:39:30</t>
  </si>
  <si>
    <t>09:39:30</t>
  </si>
  <si>
    <t>37:52:39</t>
  </si>
  <si>
    <t>13:52:39</t>
  </si>
  <si>
    <t>42:28:49</t>
  </si>
  <si>
    <t>18:28:49</t>
  </si>
  <si>
    <t>1942487_work</t>
  </si>
  <si>
    <t>29:45:51</t>
  </si>
  <si>
    <t>05:45:51</t>
  </si>
  <si>
    <t>33:59:14</t>
  </si>
  <si>
    <t>09:59:14</t>
  </si>
  <si>
    <t>37:06:30</t>
  </si>
  <si>
    <t>13:06:30</t>
  </si>
  <si>
    <t>7505193_work</t>
  </si>
  <si>
    <t>29:46:47</t>
  </si>
  <si>
    <t>05:46:47</t>
  </si>
  <si>
    <t>34:00:19</t>
  </si>
  <si>
    <t>10:00:19</t>
  </si>
  <si>
    <t>36:46:54</t>
  </si>
  <si>
    <t>12:46:54</t>
  </si>
  <si>
    <t>7459831_work</t>
  </si>
  <si>
    <t>34:07:30</t>
  </si>
  <si>
    <t>10:07:30</t>
  </si>
  <si>
    <t>38:21:29</t>
  </si>
  <si>
    <t>14:21:29</t>
  </si>
  <si>
    <t>41:08:44</t>
  </si>
  <si>
    <t>17:08:44</t>
  </si>
  <si>
    <t>2127011_work</t>
  </si>
  <si>
    <t>31:31:09</t>
  </si>
  <si>
    <t>07:31:09</t>
  </si>
  <si>
    <t>35:45:44</t>
  </si>
  <si>
    <t>11:45:44</t>
  </si>
  <si>
    <t>39:52:06</t>
  </si>
  <si>
    <t>15:52:06</t>
  </si>
  <si>
    <t>4696601_work</t>
  </si>
  <si>
    <t>35:00:34</t>
  </si>
  <si>
    <t>11:00:34</t>
  </si>
  <si>
    <t>39:15:09</t>
  </si>
  <si>
    <t>15:15:09</t>
  </si>
  <si>
    <t>41:16:58</t>
  </si>
  <si>
    <t>17:16:58</t>
  </si>
  <si>
    <t>2129701_work</t>
  </si>
  <si>
    <t>34:41:22</t>
  </si>
  <si>
    <t>10:41:22</t>
  </si>
  <si>
    <t>38:56:19</t>
  </si>
  <si>
    <t>14:56:19</t>
  </si>
  <si>
    <t>41:18:47</t>
  </si>
  <si>
    <t>17:18:47</t>
  </si>
  <si>
    <t>4743170_work</t>
  </si>
  <si>
    <t>33:54:42</t>
  </si>
  <si>
    <t>09:54:42</t>
  </si>
  <si>
    <t>38:09:54</t>
  </si>
  <si>
    <t>14:09:54</t>
  </si>
  <si>
    <t>41:08:24</t>
  </si>
  <si>
    <t>17:08:24</t>
  </si>
  <si>
    <t>9414002_work</t>
  </si>
  <si>
    <t>37:31:18</t>
  </si>
  <si>
    <t>13:31:18</t>
  </si>
  <si>
    <t>41:46:42</t>
  </si>
  <si>
    <t>17:46:42</t>
  </si>
  <si>
    <t>2944851_work</t>
  </si>
  <si>
    <t>31:42:15</t>
  </si>
  <si>
    <t>07:42:15</t>
  </si>
  <si>
    <t>35:57:44</t>
  </si>
  <si>
    <t>11:57:44</t>
  </si>
  <si>
    <t>39:59:54</t>
  </si>
  <si>
    <t>15:59:54</t>
  </si>
  <si>
    <t>10051599_work</t>
  </si>
  <si>
    <t>37:09:58</t>
  </si>
  <si>
    <t>13:09:58</t>
  </si>
  <si>
    <t>41:25:39</t>
  </si>
  <si>
    <t>17:25:39</t>
  </si>
  <si>
    <t>42:53:38</t>
  </si>
  <si>
    <t>18:53:38</t>
  </si>
  <si>
    <t>4745411_work</t>
  </si>
  <si>
    <t>37:54:46</t>
  </si>
  <si>
    <t>13:54:46</t>
  </si>
  <si>
    <t>42:11:29</t>
  </si>
  <si>
    <t>18:11:29</t>
  </si>
  <si>
    <t>42:41:50</t>
  </si>
  <si>
    <t>18:41:50</t>
  </si>
  <si>
    <t>4662182_work</t>
  </si>
  <si>
    <t>33:28:04</t>
  </si>
  <si>
    <t>09:28:04</t>
  </si>
  <si>
    <t>37:44:59</t>
  </si>
  <si>
    <t>13:44:59</t>
  </si>
  <si>
    <t>39:07:33</t>
  </si>
  <si>
    <t>15:07:33</t>
  </si>
  <si>
    <t>2060086_work</t>
  </si>
  <si>
    <t>36:24:12</t>
  </si>
  <si>
    <t>12:24:12</t>
  </si>
  <si>
    <t>40:41:34</t>
  </si>
  <si>
    <t>16:41:34</t>
  </si>
  <si>
    <t>41:26:29</t>
  </si>
  <si>
    <t>17:26:29</t>
  </si>
  <si>
    <t>4701796_work</t>
  </si>
  <si>
    <t>35:04:52</t>
  </si>
  <si>
    <t>11:04:52</t>
  </si>
  <si>
    <t>39:23:30</t>
  </si>
  <si>
    <t>15:23:30</t>
  </si>
  <si>
    <t>7337322_work</t>
  </si>
  <si>
    <t>33:39:21</t>
  </si>
  <si>
    <t>09:39:21</t>
  </si>
  <si>
    <t>37:58:59</t>
  </si>
  <si>
    <t>13:58:59</t>
  </si>
  <si>
    <t>40:43:45</t>
  </si>
  <si>
    <t>16:43:45</t>
  </si>
  <si>
    <t>4609228_work</t>
  </si>
  <si>
    <t>31:57:25</t>
  </si>
  <si>
    <t>07:57:25</t>
  </si>
  <si>
    <t>36:17:49</t>
  </si>
  <si>
    <t>12:17:49</t>
  </si>
  <si>
    <t>40:36:08</t>
  </si>
  <si>
    <t>16:36:08</t>
  </si>
  <si>
    <t>4602392_work</t>
  </si>
  <si>
    <t>34:47:01</t>
  </si>
  <si>
    <t>10:47:01</t>
  </si>
  <si>
    <t>39:10:54</t>
  </si>
  <si>
    <t>15:10:54</t>
  </si>
  <si>
    <t>41:59:01</t>
  </si>
  <si>
    <t>17:59:01</t>
  </si>
  <si>
    <t>1876802_work</t>
  </si>
  <si>
    <t>32:13:06</t>
  </si>
  <si>
    <t>08:13:06</t>
  </si>
  <si>
    <t>36:37:34</t>
  </si>
  <si>
    <t>12:37:34</t>
  </si>
  <si>
    <t>39:55:15</t>
  </si>
  <si>
    <t>15:55:15</t>
  </si>
  <si>
    <t>2030367_work</t>
  </si>
  <si>
    <t>35:33:28</t>
  </si>
  <si>
    <t>11:33:28</t>
  </si>
  <si>
    <t>39:58:54</t>
  </si>
  <si>
    <t>15:58:54</t>
  </si>
  <si>
    <t>40:45:32</t>
  </si>
  <si>
    <t>16:45:32</t>
  </si>
  <si>
    <t>4661369_work</t>
  </si>
  <si>
    <t>35:49:00</t>
  </si>
  <si>
    <t>11:49:00</t>
  </si>
  <si>
    <t>40:14:29</t>
  </si>
  <si>
    <t>16:14:29</t>
  </si>
  <si>
    <t>42:23:09</t>
  </si>
  <si>
    <t>18:23:09</t>
  </si>
  <si>
    <t>9395674_work</t>
  </si>
  <si>
    <t>31:07:29</t>
  </si>
  <si>
    <t>07:07:29</t>
  </si>
  <si>
    <t>35:34:04</t>
  </si>
  <si>
    <t>11:34:04</t>
  </si>
  <si>
    <t>40:24:18</t>
  </si>
  <si>
    <t>16:24:18</t>
  </si>
  <si>
    <t>4696924_work</t>
  </si>
  <si>
    <t>34:04:53</t>
  </si>
  <si>
    <t>10:04:53</t>
  </si>
  <si>
    <t>38:32:09</t>
  </si>
  <si>
    <t>14:32:09</t>
  </si>
  <si>
    <t>41:42:35</t>
  </si>
  <si>
    <t>17:42:35</t>
  </si>
  <si>
    <t>9484735_work</t>
  </si>
  <si>
    <t>34:11:57</t>
  </si>
  <si>
    <t>10:11:57</t>
  </si>
  <si>
    <t>38:39:19</t>
  </si>
  <si>
    <t>14:39:19</t>
  </si>
  <si>
    <t>42:24:11</t>
  </si>
  <si>
    <t>18:24:11</t>
  </si>
  <si>
    <t>7449588_work</t>
  </si>
  <si>
    <t>38:16:28</t>
  </si>
  <si>
    <t>14:16:28</t>
  </si>
  <si>
    <t>42:43:54</t>
  </si>
  <si>
    <t>18:43:54</t>
  </si>
  <si>
    <t>43:37:41</t>
  </si>
  <si>
    <t>19:37:41</t>
  </si>
  <si>
    <t>9670434_work</t>
  </si>
  <si>
    <t>33:48:33</t>
  </si>
  <si>
    <t>09:48:33</t>
  </si>
  <si>
    <t>38:18:59</t>
  </si>
  <si>
    <t>14:18:59</t>
  </si>
  <si>
    <t>40:00:26</t>
  </si>
  <si>
    <t>16:00:26</t>
  </si>
  <si>
    <t>2323878_work</t>
  </si>
  <si>
    <t>33:06:04</t>
  </si>
  <si>
    <t>09:06:04</t>
  </si>
  <si>
    <t>37:37:14</t>
  </si>
  <si>
    <t>13:37:14</t>
  </si>
  <si>
    <t>41:25:49</t>
  </si>
  <si>
    <t>17:25:49</t>
  </si>
  <si>
    <t>9396262_work</t>
  </si>
  <si>
    <t>35:35:54</t>
  </si>
  <si>
    <t>11:35:54</t>
  </si>
  <si>
    <t>40:09:27</t>
  </si>
  <si>
    <t>16:09:27</t>
  </si>
  <si>
    <t>1863297_work</t>
  </si>
  <si>
    <t>31:31:39</t>
  </si>
  <si>
    <t>07:31:39</t>
  </si>
  <si>
    <t>36:05:34</t>
  </si>
  <si>
    <t>12:05:34</t>
  </si>
  <si>
    <t>40:24:07</t>
  </si>
  <si>
    <t>16:24:07</t>
  </si>
  <si>
    <t>4706744_work</t>
  </si>
  <si>
    <t>33:00:31</t>
  </si>
  <si>
    <t>09:00:31</t>
  </si>
  <si>
    <t>37:34:59</t>
  </si>
  <si>
    <t>13:34:59</t>
  </si>
  <si>
    <t>41:57:16</t>
  </si>
  <si>
    <t>17:57:16</t>
  </si>
  <si>
    <t>7313622_work</t>
  </si>
  <si>
    <t>35:08:29</t>
  </si>
  <si>
    <t>11:08:29</t>
  </si>
  <si>
    <t>39:43:34</t>
  </si>
  <si>
    <t>15:43:34</t>
  </si>
  <si>
    <t>42:06:49</t>
  </si>
  <si>
    <t>18:06:49</t>
  </si>
  <si>
    <t>3041291_work</t>
  </si>
  <si>
    <t>35:33:12</t>
  </si>
  <si>
    <t>11:33:12</t>
  </si>
  <si>
    <t>40:08:44</t>
  </si>
  <si>
    <t>16:08:44</t>
  </si>
  <si>
    <t>41:46:14</t>
  </si>
  <si>
    <t>17:46:14</t>
  </si>
  <si>
    <t>2334244_work</t>
  </si>
  <si>
    <t>38:06:30</t>
  </si>
  <si>
    <t>14:06:30</t>
  </si>
  <si>
    <t>42:43:28</t>
  </si>
  <si>
    <t>18:43:28</t>
  </si>
  <si>
    <t>1965760_work</t>
  </si>
  <si>
    <t>31:00:42</t>
  </si>
  <si>
    <t>07:00:42</t>
  </si>
  <si>
    <t>35:38:44</t>
  </si>
  <si>
    <t>11:38:44</t>
  </si>
  <si>
    <t>39:46:51</t>
  </si>
  <si>
    <t>15:46:51</t>
  </si>
  <si>
    <t>9489291_work</t>
  </si>
  <si>
    <t>36:44:01</t>
  </si>
  <si>
    <t>12:44:01</t>
  </si>
  <si>
    <t>41:24:35</t>
  </si>
  <si>
    <t>17:24:35</t>
  </si>
  <si>
    <t>2016954_work</t>
  </si>
  <si>
    <t>33:07:45</t>
  </si>
  <si>
    <t>09:07:45</t>
  </si>
  <si>
    <t>37:53:24</t>
  </si>
  <si>
    <t>13:53:24</t>
  </si>
  <si>
    <t>40:41:44</t>
  </si>
  <si>
    <t>16:41:44</t>
  </si>
  <si>
    <t>9533070_work</t>
  </si>
  <si>
    <t>31:57:27</t>
  </si>
  <si>
    <t>07:57:27</t>
  </si>
  <si>
    <t>36:43:34</t>
  </si>
  <si>
    <t>12:43:34</t>
  </si>
  <si>
    <t>40:30:59</t>
  </si>
  <si>
    <t>16:30:59</t>
  </si>
  <si>
    <t>4701413_work</t>
  </si>
  <si>
    <t>33:36:45</t>
  </si>
  <si>
    <t>09:36:45</t>
  </si>
  <si>
    <t>38:22:59</t>
  </si>
  <si>
    <t>14:22:59</t>
  </si>
  <si>
    <t>40:37:44</t>
  </si>
  <si>
    <t>16:37:44</t>
  </si>
  <si>
    <t>9520182_work</t>
  </si>
  <si>
    <t>31:56:44</t>
  </si>
  <si>
    <t>07:56:44</t>
  </si>
  <si>
    <t>36:48:19</t>
  </si>
  <si>
    <t>12:48:19</t>
  </si>
  <si>
    <t>42:32:03</t>
  </si>
  <si>
    <t>18:32:03</t>
  </si>
  <si>
    <t>7306575_work</t>
  </si>
  <si>
    <t>35:34:22</t>
  </si>
  <si>
    <t>11:34:22</t>
  </si>
  <si>
    <t>40:26:29</t>
  </si>
  <si>
    <t>16:26:29</t>
  </si>
  <si>
    <t>41:52:47</t>
  </si>
  <si>
    <t>17:52:47</t>
  </si>
  <si>
    <t>1933169_work</t>
  </si>
  <si>
    <t>32:26:22</t>
  </si>
  <si>
    <t>08:26:22</t>
  </si>
  <si>
    <t>37:18:59</t>
  </si>
  <si>
    <t>13:18:59</t>
  </si>
  <si>
    <t>39:43:51</t>
  </si>
  <si>
    <t>15:43:51</t>
  </si>
  <si>
    <t>2125063_work</t>
  </si>
  <si>
    <t>34:55:17</t>
  </si>
  <si>
    <t>10:55:17</t>
  </si>
  <si>
    <t>39:49:54</t>
  </si>
  <si>
    <t>15:49:54</t>
  </si>
  <si>
    <t>41:39:55</t>
  </si>
  <si>
    <t>17:39:55</t>
  </si>
  <si>
    <t>9459373_work</t>
  </si>
  <si>
    <t>36:25:28</t>
  </si>
  <si>
    <t>12:25:28</t>
  </si>
  <si>
    <t>41:21:31</t>
  </si>
  <si>
    <t>17:21:31</t>
  </si>
  <si>
    <t>7316455_work</t>
  </si>
  <si>
    <t>35:47:53</t>
  </si>
  <si>
    <t>11:47:53</t>
  </si>
  <si>
    <t>40:50:49</t>
  </si>
  <si>
    <t>16:50:49</t>
  </si>
  <si>
    <t>41:47:12</t>
  </si>
  <si>
    <t>17:47:12</t>
  </si>
  <si>
    <t>1866215_work</t>
  </si>
  <si>
    <t>34:33:03</t>
  </si>
  <si>
    <t>10:33:03</t>
  </si>
  <si>
    <t>39:37:59</t>
  </si>
  <si>
    <t>15:37:59</t>
  </si>
  <si>
    <t>40:55:35</t>
  </si>
  <si>
    <t>16:55:35</t>
  </si>
  <si>
    <t>2323636_work</t>
  </si>
  <si>
    <t>31:00:16</t>
  </si>
  <si>
    <t>07:00:16</t>
  </si>
  <si>
    <t>36:10:19</t>
  </si>
  <si>
    <t>12:10:19</t>
  </si>
  <si>
    <t>39:10:50</t>
  </si>
  <si>
    <t>15:10:50</t>
  </si>
  <si>
    <t>9411134_work</t>
  </si>
  <si>
    <t>32:51:50</t>
  </si>
  <si>
    <t>08:51:50</t>
  </si>
  <si>
    <t>38:12:19</t>
  </si>
  <si>
    <t>14:12:19</t>
  </si>
  <si>
    <t>39:51:07</t>
  </si>
  <si>
    <t>15:51:07</t>
  </si>
  <si>
    <t>3262654_work</t>
  </si>
  <si>
    <t>35:12:03</t>
  </si>
  <si>
    <t>11:12:03</t>
  </si>
  <si>
    <t>40:40:19</t>
  </si>
  <si>
    <t>16:40:19</t>
  </si>
  <si>
    <t>41:01:46</t>
  </si>
  <si>
    <t>17:01:46</t>
  </si>
  <si>
    <t>5907170_work</t>
  </si>
  <si>
    <t>30:34:14</t>
  </si>
  <si>
    <t>06:34:14</t>
  </si>
  <si>
    <t>36:11:39</t>
  </si>
  <si>
    <t>12:11:39</t>
  </si>
  <si>
    <t>37:19:58</t>
  </si>
  <si>
    <t>13:19:58</t>
  </si>
  <si>
    <t>5413097_work</t>
  </si>
  <si>
    <t>32:48:51</t>
  </si>
  <si>
    <t>08:48:51</t>
  </si>
  <si>
    <t>38:34:14</t>
  </si>
  <si>
    <t>14:34:14</t>
  </si>
  <si>
    <t>40:15:34</t>
  </si>
  <si>
    <t>16:15:34</t>
  </si>
  <si>
    <t>2015689_work</t>
  </si>
  <si>
    <t>31:30:27</t>
  </si>
  <si>
    <t>07:30:27</t>
  </si>
  <si>
    <t>34:10:54</t>
  </si>
  <si>
    <t>10:10:54</t>
  </si>
  <si>
    <t>40:42:15</t>
  </si>
  <si>
    <t>16:42:15</t>
  </si>
  <si>
    <t>9489532_work</t>
  </si>
  <si>
    <t>32:16:38</t>
  </si>
  <si>
    <t>08:16:38</t>
  </si>
  <si>
    <t>34:57:14</t>
  </si>
  <si>
    <t>10:57:14</t>
  </si>
  <si>
    <t>40:13:03</t>
  </si>
  <si>
    <t>16:13:03</t>
  </si>
  <si>
    <t>7323963_work</t>
  </si>
  <si>
    <t>30:52:39</t>
  </si>
  <si>
    <t>06:52:39</t>
  </si>
  <si>
    <t>33:33:24</t>
  </si>
  <si>
    <t>09:33:24</t>
  </si>
  <si>
    <t>39:54:54</t>
  </si>
  <si>
    <t>15:54:54</t>
  </si>
  <si>
    <t>5889300_work</t>
  </si>
  <si>
    <t>31:41:08</t>
  </si>
  <si>
    <t>07:41:08</t>
  </si>
  <si>
    <t>34:21:54</t>
  </si>
  <si>
    <t>10:21:54</t>
  </si>
  <si>
    <t>41:07:29</t>
  </si>
  <si>
    <t>17:07:29</t>
  </si>
  <si>
    <t>7426404_work</t>
  </si>
  <si>
    <t>35:11:50</t>
  </si>
  <si>
    <t>11:11:50</t>
  </si>
  <si>
    <t>37:53:09</t>
  </si>
  <si>
    <t>13:53:09</t>
  </si>
  <si>
    <t>44:59:25</t>
  </si>
  <si>
    <t>20:59:25</t>
  </si>
  <si>
    <t>2003753_work</t>
  </si>
  <si>
    <t>31:25:34</t>
  </si>
  <si>
    <t>07:25:34</t>
  </si>
  <si>
    <t>34:06:54</t>
  </si>
  <si>
    <t>10:06:54</t>
  </si>
  <si>
    <t>39:22:36</t>
  </si>
  <si>
    <t>15:22:36</t>
  </si>
  <si>
    <t>1857355_work</t>
  </si>
  <si>
    <t>31:39:49</t>
  </si>
  <si>
    <t>07:39:49</t>
  </si>
  <si>
    <t>34:21:14</t>
  </si>
  <si>
    <t>10:21:14</t>
  </si>
  <si>
    <t>40:17:49</t>
  </si>
  <si>
    <t>16:17:49</t>
  </si>
  <si>
    <t>1837820_work</t>
  </si>
  <si>
    <t>33:40:22</t>
  </si>
  <si>
    <t>09:40:22</t>
  </si>
  <si>
    <t>36:21:49</t>
  </si>
  <si>
    <t>12:21:49</t>
  </si>
  <si>
    <t>39:50:09</t>
  </si>
  <si>
    <t>15:50:09</t>
  </si>
  <si>
    <t>public_1476276241</t>
  </si>
  <si>
    <t>26:15:21</t>
  </si>
  <si>
    <t>02:15:21</t>
  </si>
  <si>
    <t>28:56:49</t>
  </si>
  <si>
    <t>04:56:49</t>
  </si>
  <si>
    <t>34:31:21</t>
  </si>
  <si>
    <t>10:31:21</t>
  </si>
  <si>
    <t>2318552_work</t>
  </si>
  <si>
    <t>32:37:26</t>
  </si>
  <si>
    <t>08:37:26</t>
  </si>
  <si>
    <t>35:18:54</t>
  </si>
  <si>
    <t>11:18:54</t>
  </si>
  <si>
    <t>40:15:53</t>
  </si>
  <si>
    <t>16:15:53</t>
  </si>
  <si>
    <t>2330005_work</t>
  </si>
  <si>
    <t>39:32:19</t>
  </si>
  <si>
    <t>15:32:19</t>
  </si>
  <si>
    <t>42:14:29</t>
  </si>
  <si>
    <t>18:14:29</t>
  </si>
  <si>
    <t>4607358_work</t>
  </si>
  <si>
    <t>35:29:03</t>
  </si>
  <si>
    <t>11:29:03</t>
  </si>
  <si>
    <t>38:11:24</t>
  </si>
  <si>
    <t>14:11:24</t>
  </si>
  <si>
    <t>40:17:38</t>
  </si>
  <si>
    <t>16:17:38</t>
  </si>
  <si>
    <t>2071560_work</t>
  </si>
  <si>
    <t>37:28:32</t>
  </si>
  <si>
    <t>13:28:32</t>
  </si>
  <si>
    <t>40:11:03</t>
  </si>
  <si>
    <t>16:11:03</t>
  </si>
  <si>
    <t>4784659_work</t>
  </si>
  <si>
    <t>34:51:57</t>
  </si>
  <si>
    <t>10:51:57</t>
  </si>
  <si>
    <t>37:34:43</t>
  </si>
  <si>
    <t>13:34:43</t>
  </si>
  <si>
    <t>public_1476300220</t>
  </si>
  <si>
    <t>33:00:05</t>
  </si>
  <si>
    <t>09:00:05</t>
  </si>
  <si>
    <t>35:42:54</t>
  </si>
  <si>
    <t>11:42:54</t>
  </si>
  <si>
    <t>38:47:37</t>
  </si>
  <si>
    <t>14:47:37</t>
  </si>
  <si>
    <t>4611356_work</t>
  </si>
  <si>
    <t>31:41:24</t>
  </si>
  <si>
    <t>07:41:24</t>
  </si>
  <si>
    <t>34:24:14</t>
  </si>
  <si>
    <t>10:24:14</t>
  </si>
  <si>
    <t>35:48:13</t>
  </si>
  <si>
    <t>11:48:13</t>
  </si>
  <si>
    <t>public_1476137267</t>
  </si>
  <si>
    <t>27:26:18</t>
  </si>
  <si>
    <t>03:26:18</t>
  </si>
  <si>
    <t>30:09:09</t>
  </si>
  <si>
    <t>06:09:09</t>
  </si>
  <si>
    <t>31:12:17</t>
  </si>
  <si>
    <t>07:12:17</t>
  </si>
  <si>
    <t>9422873_work</t>
  </si>
  <si>
    <t>30:14:53</t>
  </si>
  <si>
    <t>06:14:53</t>
  </si>
  <si>
    <t>32:57:44</t>
  </si>
  <si>
    <t>08:57:44</t>
  </si>
  <si>
    <t>34:34:44</t>
  </si>
  <si>
    <t>10:34:44</t>
  </si>
  <si>
    <t>1839193_work</t>
  </si>
  <si>
    <t>39:02:39</t>
  </si>
  <si>
    <t>15:02:39</t>
  </si>
  <si>
    <t>41:45:54</t>
  </si>
  <si>
    <t>17:45:54</t>
  </si>
  <si>
    <t>43:36:26</t>
  </si>
  <si>
    <t>19:36:26</t>
  </si>
  <si>
    <t>4738081_work</t>
  </si>
  <si>
    <t>30:52:46</t>
  </si>
  <si>
    <t>06:52:46</t>
  </si>
  <si>
    <t>33:36:04</t>
  </si>
  <si>
    <t>09:36:04</t>
  </si>
  <si>
    <t>40:36:37</t>
  </si>
  <si>
    <t>16:36:37</t>
  </si>
  <si>
    <t>public_1476338248</t>
  </si>
  <si>
    <t>31:45:04</t>
  </si>
  <si>
    <t>07:45:04</t>
  </si>
  <si>
    <t>34:28:39</t>
  </si>
  <si>
    <t>10:28:39</t>
  </si>
  <si>
    <t>39:35:28</t>
  </si>
  <si>
    <t>15:35:28</t>
  </si>
  <si>
    <t>9412791_work</t>
  </si>
  <si>
    <t>33:41:57</t>
  </si>
  <si>
    <t>09:41:57</t>
  </si>
  <si>
    <t>36:25:39</t>
  </si>
  <si>
    <t>12:25:39</t>
  </si>
  <si>
    <t>41:47:00</t>
  </si>
  <si>
    <t>17:47:00</t>
  </si>
  <si>
    <t>7324178_work</t>
  </si>
  <si>
    <t>32:04:56</t>
  </si>
  <si>
    <t>08:04:56</t>
  </si>
  <si>
    <t>34:48:39</t>
  </si>
  <si>
    <t>10:48:39</t>
  </si>
  <si>
    <t>41:15:52</t>
  </si>
  <si>
    <t>17:15:52</t>
  </si>
  <si>
    <t>4623763_work</t>
  </si>
  <si>
    <t>30:32:36</t>
  </si>
  <si>
    <t>06:32:36</t>
  </si>
  <si>
    <t>33:16:54</t>
  </si>
  <si>
    <t>09:16:54</t>
  </si>
  <si>
    <t>39:09:35</t>
  </si>
  <si>
    <t>15:09:35</t>
  </si>
  <si>
    <t>4771115_work</t>
  </si>
  <si>
    <t>33:36:11</t>
  </si>
  <si>
    <t>09:36:11</t>
  </si>
  <si>
    <t>36:20:54</t>
  </si>
  <si>
    <t>12:20:54</t>
  </si>
  <si>
    <t>42:13:30</t>
  </si>
  <si>
    <t>18:13:30</t>
  </si>
  <si>
    <t>2944837_work</t>
  </si>
  <si>
    <t>32:18:10</t>
  </si>
  <si>
    <t>08:18:10</t>
  </si>
  <si>
    <t>35:02:54</t>
  </si>
  <si>
    <t>11:02:54</t>
  </si>
  <si>
    <t>41:07:25</t>
  </si>
  <si>
    <t>17:07:25</t>
  </si>
  <si>
    <t>9409491_work</t>
  </si>
  <si>
    <t>31:07:50</t>
  </si>
  <si>
    <t>07:07:50</t>
  </si>
  <si>
    <t>33:52:44</t>
  </si>
  <si>
    <t>09:52:44</t>
  </si>
  <si>
    <t>39:44:41</t>
  </si>
  <si>
    <t>15:44:41</t>
  </si>
  <si>
    <t>1938732_work</t>
  </si>
  <si>
    <t>32:44:08</t>
  </si>
  <si>
    <t>08:44:08</t>
  </si>
  <si>
    <t>35:29:09</t>
  </si>
  <si>
    <t>11:29:09</t>
  </si>
  <si>
    <t>40:37:21</t>
  </si>
  <si>
    <t>16:37:21</t>
  </si>
  <si>
    <t>1984076_work</t>
  </si>
  <si>
    <t>32:36:47</t>
  </si>
  <si>
    <t>08:36:47</t>
  </si>
  <si>
    <t>35:21:54</t>
  </si>
  <si>
    <t>11:21:54</t>
  </si>
  <si>
    <t>40:13:08</t>
  </si>
  <si>
    <t>16:13:08</t>
  </si>
  <si>
    <t>2030919_work</t>
  </si>
  <si>
    <t>31:55:17</t>
  </si>
  <si>
    <t>07:55:17</t>
  </si>
  <si>
    <t>34:40:29</t>
  </si>
  <si>
    <t>10:40:29</t>
  </si>
  <si>
    <t>41:06:15</t>
  </si>
  <si>
    <t>17:06:15</t>
  </si>
  <si>
    <t>2318206_work</t>
  </si>
  <si>
    <t>33:24:59</t>
  </si>
  <si>
    <t>09:24:59</t>
  </si>
  <si>
    <t>36:10:14</t>
  </si>
  <si>
    <t>12:10:14</t>
  </si>
  <si>
    <t>41:42:24</t>
  </si>
  <si>
    <t>17:42:24</t>
  </si>
  <si>
    <t>7413991_work</t>
  </si>
  <si>
    <t>31:21:27</t>
  </si>
  <si>
    <t>07:21:27</t>
  </si>
  <si>
    <t>34:06:44</t>
  </si>
  <si>
    <t>10:06:44</t>
  </si>
  <si>
    <t>39:22:40</t>
  </si>
  <si>
    <t>15:22:40</t>
  </si>
  <si>
    <t>4694984_work</t>
  </si>
  <si>
    <t>36:22:47</t>
  </si>
  <si>
    <t>12:22:47</t>
  </si>
  <si>
    <t>39:08:04</t>
  </si>
  <si>
    <t>15:08:04</t>
  </si>
  <si>
    <t>41:25:23</t>
  </si>
  <si>
    <t>17:25:23</t>
  </si>
  <si>
    <t>4708515_work</t>
  </si>
  <si>
    <t>32:49:05</t>
  </si>
  <si>
    <t>08:49:05</t>
  </si>
  <si>
    <t>35:34:34</t>
  </si>
  <si>
    <t>11:34:34</t>
  </si>
  <si>
    <t>43:18:44</t>
  </si>
  <si>
    <t>19:18:44</t>
  </si>
  <si>
    <t>4659893_work</t>
  </si>
  <si>
    <t>37:57:26</t>
  </si>
  <si>
    <t>13:57:26</t>
  </si>
  <si>
    <t>40:43:19</t>
  </si>
  <si>
    <t>16:43:19</t>
  </si>
  <si>
    <t>42:18:59</t>
  </si>
  <si>
    <t>18:18:59</t>
  </si>
  <si>
    <t>7363712_work</t>
  </si>
  <si>
    <t>30:01:02</t>
  </si>
  <si>
    <t>06:01:02</t>
  </si>
  <si>
    <t>32:47:04</t>
  </si>
  <si>
    <t>08:47:04</t>
  </si>
  <si>
    <t>39:19:57</t>
  </si>
  <si>
    <t>15:19:57</t>
  </si>
  <si>
    <t>1980036_work</t>
  </si>
  <si>
    <t>32:53:38</t>
  </si>
  <si>
    <t>08:53:38</t>
  </si>
  <si>
    <t>35:39:44</t>
  </si>
  <si>
    <t>11:39:44</t>
  </si>
  <si>
    <t>41:33:35</t>
  </si>
  <si>
    <t>17:33:35</t>
  </si>
  <si>
    <t>7452680_work</t>
  </si>
  <si>
    <t>31:37:31</t>
  </si>
  <si>
    <t>07:37:31</t>
  </si>
  <si>
    <t>34:23:49</t>
  </si>
  <si>
    <t>10:23:49</t>
  </si>
  <si>
    <t>39:04:36</t>
  </si>
  <si>
    <t>15:04:36</t>
  </si>
  <si>
    <t>public_1476328097</t>
  </si>
  <si>
    <t>34:49:56</t>
  </si>
  <si>
    <t>10:49:56</t>
  </si>
  <si>
    <t>37:36:14</t>
  </si>
  <si>
    <t>13:36:14</t>
  </si>
  <si>
    <t>41:48:43</t>
  </si>
  <si>
    <t>17:48:43</t>
  </si>
  <si>
    <t>1837617_work</t>
  </si>
  <si>
    <t>29:24:19</t>
  </si>
  <si>
    <t>05:24:19</t>
  </si>
  <si>
    <t>32:11:04</t>
  </si>
  <si>
    <t>08:11:04</t>
  </si>
  <si>
    <t>37:12:21</t>
  </si>
  <si>
    <t>13:12:21</t>
  </si>
  <si>
    <t>4605049_work</t>
  </si>
  <si>
    <t>30:51:36</t>
  </si>
  <si>
    <t>06:51:36</t>
  </si>
  <si>
    <t>33:38:24</t>
  </si>
  <si>
    <t>09:38:24</t>
  </si>
  <si>
    <t>35:49:35</t>
  </si>
  <si>
    <t>11:49:35</t>
  </si>
  <si>
    <t>9562527_work</t>
  </si>
  <si>
    <t>34:19:29</t>
  </si>
  <si>
    <t>10:19:29</t>
  </si>
  <si>
    <t>37:06:19</t>
  </si>
  <si>
    <t>13:06:19</t>
  </si>
  <si>
    <t>44:44:56</t>
  </si>
  <si>
    <t>20:44:56</t>
  </si>
  <si>
    <t>1996702_work</t>
  </si>
  <si>
    <t>40:04:12</t>
  </si>
  <si>
    <t>16:04:12</t>
  </si>
  <si>
    <t>42:51:09</t>
  </si>
  <si>
    <t>18:51:09</t>
  </si>
  <si>
    <t>43:45:12</t>
  </si>
  <si>
    <t>19:45:12</t>
  </si>
  <si>
    <t>1951459_work</t>
  </si>
  <si>
    <t>33:06:02</t>
  </si>
  <si>
    <t>09:06:02</t>
  </si>
  <si>
    <t>35:53:09</t>
  </si>
  <si>
    <t>11:53:09</t>
  </si>
  <si>
    <t>41:11:58</t>
  </si>
  <si>
    <t>17:11:58</t>
  </si>
  <si>
    <t>9530335_work</t>
  </si>
  <si>
    <t>31:56:00</t>
  </si>
  <si>
    <t>07:56:00</t>
  </si>
  <si>
    <t>34:43:09</t>
  </si>
  <si>
    <t>10:43:09</t>
  </si>
  <si>
    <t>42:25:22</t>
  </si>
  <si>
    <t>18:25:22</t>
  </si>
  <si>
    <t>4662560_work</t>
  </si>
  <si>
    <t>36:55:32</t>
  </si>
  <si>
    <t>12:55:32</t>
  </si>
  <si>
    <t>39:42:59</t>
  </si>
  <si>
    <t>15:42:59</t>
  </si>
  <si>
    <t>43:54:43</t>
  </si>
  <si>
    <t>19:54:43</t>
  </si>
  <si>
    <t>4624014_work</t>
  </si>
  <si>
    <t>35:48:04</t>
  </si>
  <si>
    <t>11:48:04</t>
  </si>
  <si>
    <t>38:35:49</t>
  </si>
  <si>
    <t>14:35:49</t>
  </si>
  <si>
    <t>40:18:30</t>
  </si>
  <si>
    <t>16:18:30</t>
  </si>
  <si>
    <t>7453107_work</t>
  </si>
  <si>
    <t>31:39:47</t>
  </si>
  <si>
    <t>07:39:47</t>
  </si>
  <si>
    <t>34:27:49</t>
  </si>
  <si>
    <t>10:27:49</t>
  </si>
  <si>
    <t>40:32:32</t>
  </si>
  <si>
    <t>16:32:32</t>
  </si>
  <si>
    <t>1966547_work</t>
  </si>
  <si>
    <t>31:35:26</t>
  </si>
  <si>
    <t>07:35:26</t>
  </si>
  <si>
    <t>34:23:44</t>
  </si>
  <si>
    <t>10:23:44</t>
  </si>
  <si>
    <t>39:23:39</t>
  </si>
  <si>
    <t>15:23:39</t>
  </si>
  <si>
    <t>4925338_work</t>
  </si>
  <si>
    <t>32:05:51</t>
  </si>
  <si>
    <t>08:05:51</t>
  </si>
  <si>
    <t>34:54:09</t>
  </si>
  <si>
    <t>10:54:09</t>
  </si>
  <si>
    <t>40:30:25</t>
  </si>
  <si>
    <t>16:30:25</t>
  </si>
  <si>
    <t>4744327_work</t>
  </si>
  <si>
    <t>35:31:14</t>
  </si>
  <si>
    <t>11:31:14</t>
  </si>
  <si>
    <t>38:19:39</t>
  </si>
  <si>
    <t>14:19:39</t>
  </si>
  <si>
    <t>44:42:23</t>
  </si>
  <si>
    <t>20:42:23</t>
  </si>
  <si>
    <t>4763062_work</t>
  </si>
  <si>
    <t>38:17:39</t>
  </si>
  <si>
    <t>14:17:39</t>
  </si>
  <si>
    <t>43:46:56</t>
  </si>
  <si>
    <t>19:46:56</t>
  </si>
  <si>
    <t>2207564_work</t>
  </si>
  <si>
    <t>33:28:02</t>
  </si>
  <si>
    <t>09:28:02</t>
  </si>
  <si>
    <t>36:16:39</t>
  </si>
  <si>
    <t>12:16:39</t>
  </si>
  <si>
    <t>41:08:32</t>
  </si>
  <si>
    <t>17:08:32</t>
  </si>
  <si>
    <t>1946924_work</t>
  </si>
  <si>
    <t>31:17:09</t>
  </si>
  <si>
    <t>07:17:09</t>
  </si>
  <si>
    <t>34:05:59</t>
  </si>
  <si>
    <t>10:05:59</t>
  </si>
  <si>
    <t>39:29:43</t>
  </si>
  <si>
    <t>15:29:43</t>
  </si>
  <si>
    <t>9491928_work</t>
  </si>
  <si>
    <t>41:11:02</t>
  </si>
  <si>
    <t>17:11:02</t>
  </si>
  <si>
    <t>43:59:57</t>
  </si>
  <si>
    <t>19:59:57</t>
  </si>
  <si>
    <t>7428214_work</t>
  </si>
  <si>
    <t>32:49:01</t>
  </si>
  <si>
    <t>08:49:01</t>
  </si>
  <si>
    <t>35:37:58</t>
  </si>
  <si>
    <t>11:37:58</t>
  </si>
  <si>
    <t>4648858_work</t>
  </si>
  <si>
    <t>35:21:38</t>
  </si>
  <si>
    <t>11:21:38</t>
  </si>
  <si>
    <t>38:10:49</t>
  </si>
  <si>
    <t>14:10:49</t>
  </si>
  <si>
    <t>40:17:32</t>
  </si>
  <si>
    <t>16:17:32</t>
  </si>
  <si>
    <t>1839774_work</t>
  </si>
  <si>
    <t>33:00:06</t>
  </si>
  <si>
    <t>09:00:06</t>
  </si>
  <si>
    <t>35:49:29</t>
  </si>
  <si>
    <t>11:49:29</t>
  </si>
  <si>
    <t>1895825_work</t>
  </si>
  <si>
    <t>31:25:08</t>
  </si>
  <si>
    <t>07:25:08</t>
  </si>
  <si>
    <t>34:21:39</t>
  </si>
  <si>
    <t>10:21:39</t>
  </si>
  <si>
    <t>41:24:24</t>
  </si>
  <si>
    <t>17:24:24</t>
  </si>
  <si>
    <t>2317000_work</t>
  </si>
  <si>
    <t>33:02:53</t>
  </si>
  <si>
    <t>09:02:53</t>
  </si>
  <si>
    <t>35:59:29</t>
  </si>
  <si>
    <t>11:59:29</t>
  </si>
  <si>
    <t>41:48:09</t>
  </si>
  <si>
    <t>17:48:09</t>
  </si>
  <si>
    <t>4921170_work</t>
  </si>
  <si>
    <t>28:11:45</t>
  </si>
  <si>
    <t>04:11:45</t>
  </si>
  <si>
    <t>31:08:24</t>
  </si>
  <si>
    <t>07:08:24</t>
  </si>
  <si>
    <t>37:25:28</t>
  </si>
  <si>
    <t>13:25:28</t>
  </si>
  <si>
    <t>1946561_work</t>
  </si>
  <si>
    <t>36:23:33</t>
  </si>
  <si>
    <t>12:23:33</t>
  </si>
  <si>
    <t>39:20:14</t>
  </si>
  <si>
    <t>15:20:14</t>
  </si>
  <si>
    <t>41:20:59</t>
  </si>
  <si>
    <t>17:20:59</t>
  </si>
  <si>
    <t>1895322_work</t>
  </si>
  <si>
    <t>33:03:11</t>
  </si>
  <si>
    <t>09:03:11</t>
  </si>
  <si>
    <t>35:59:54</t>
  </si>
  <si>
    <t>11:59:54</t>
  </si>
  <si>
    <t>41:47:53</t>
  </si>
  <si>
    <t>17:47:53</t>
  </si>
  <si>
    <t>1925712_work</t>
  </si>
  <si>
    <t>31:05:19</t>
  </si>
  <si>
    <t>07:05:19</t>
  </si>
  <si>
    <t>34:02:19</t>
  </si>
  <si>
    <t>10:02:19</t>
  </si>
  <si>
    <t>35:17:21</t>
  </si>
  <si>
    <t>11:17:21</t>
  </si>
  <si>
    <t>public_1476123728</t>
  </si>
  <si>
    <t>44:59:53</t>
  </si>
  <si>
    <t>20:59:53</t>
  </si>
  <si>
    <t>47:56:54</t>
  </si>
  <si>
    <t>55:21:37</t>
  </si>
  <si>
    <t>07:21:37</t>
  </si>
  <si>
    <t>10:13:04</t>
  </si>
  <si>
    <t>31:22:30</t>
  </si>
  <si>
    <t>07:22:30</t>
  </si>
  <si>
    <t>4588433_work</t>
  </si>
  <si>
    <t>31:33:16</t>
  </si>
  <si>
    <t>07:33:16</t>
  </si>
  <si>
    <t>33:47:19</t>
  </si>
  <si>
    <t>09:47:19</t>
  </si>
  <si>
    <t>40:24:06</t>
  </si>
  <si>
    <t>16:24:06</t>
  </si>
  <si>
    <t>public_1476241556</t>
  </si>
  <si>
    <t>41:23:55</t>
  </si>
  <si>
    <t>17:23:55</t>
  </si>
  <si>
    <t>43:38:39</t>
  </si>
  <si>
    <t>19:38:39</t>
  </si>
  <si>
    <t>58:13:04</t>
  </si>
  <si>
    <t>public_1476418179</t>
  </si>
  <si>
    <t>43:13:59</t>
  </si>
  <si>
    <t>19:13:59</t>
  </si>
  <si>
    <t>45:28:54</t>
  </si>
  <si>
    <t>21:28:54</t>
  </si>
  <si>
    <t>55:13:07</t>
  </si>
  <si>
    <t>07:13:07</t>
  </si>
  <si>
    <t>public_1476182262</t>
  </si>
  <si>
    <t>41:15:16</t>
  </si>
  <si>
    <t>17:15:16</t>
  </si>
  <si>
    <t>43:31:24</t>
  </si>
  <si>
    <t>19:31:24</t>
  </si>
  <si>
    <t>55:01:33</t>
  </si>
  <si>
    <t>07:01:33</t>
  </si>
  <si>
    <t>public_1476019146</t>
  </si>
  <si>
    <t>33:32:25</t>
  </si>
  <si>
    <t>09:32:25</t>
  </si>
  <si>
    <t>35:48:54</t>
  </si>
  <si>
    <t>11:48:54</t>
  </si>
  <si>
    <t>43:09:24</t>
  </si>
  <si>
    <t>19:09:24</t>
  </si>
  <si>
    <t>7372369_work</t>
  </si>
  <si>
    <t>30:33:39</t>
  </si>
  <si>
    <t>06:33:39</t>
  </si>
  <si>
    <t>32:50:49</t>
  </si>
  <si>
    <t>08:50:49</t>
  </si>
  <si>
    <t>40:32:23</t>
  </si>
  <si>
    <t>16:32:23</t>
  </si>
  <si>
    <t>public_1475966375</t>
  </si>
  <si>
    <t>36:36:05</t>
  </si>
  <si>
    <t>12:36:05</t>
  </si>
  <si>
    <t>38:53:39</t>
  </si>
  <si>
    <t>14:53:39</t>
  </si>
  <si>
    <t>57:32:11</t>
  </si>
  <si>
    <t>09:32:11</t>
  </si>
  <si>
    <t>public_1476279943</t>
  </si>
  <si>
    <t>37:12:35</t>
  </si>
  <si>
    <t>13:12:35</t>
  </si>
  <si>
    <t>39:31:09</t>
  </si>
  <si>
    <t>15:31:09</t>
  </si>
  <si>
    <t>56:45:37</t>
  </si>
  <si>
    <t>08:45:37</t>
  </si>
  <si>
    <t>5886662_work</t>
  </si>
  <si>
    <t>31:40:27</t>
  </si>
  <si>
    <t>07:40:27</t>
  </si>
  <si>
    <t>33:59:04</t>
  </si>
  <si>
    <t>09:59:04</t>
  </si>
  <si>
    <t>41:12:02</t>
  </si>
  <si>
    <t>17:12:02</t>
  </si>
  <si>
    <t>public_1476162075</t>
  </si>
  <si>
    <t>41:26:20</t>
  </si>
  <si>
    <t>17:26:20</t>
  </si>
  <si>
    <t>43:46:19</t>
  </si>
  <si>
    <t>19:46:19</t>
  </si>
  <si>
    <t>56:41:42</t>
  </si>
  <si>
    <t>08:41:42</t>
  </si>
  <si>
    <t>public_1476361959</t>
  </si>
  <si>
    <t>39:01:49</t>
  </si>
  <si>
    <t>15:01:49</t>
  </si>
  <si>
    <t>41:22:09</t>
  </si>
  <si>
    <t>17:22:09</t>
  </si>
  <si>
    <t>57:43:30</t>
  </si>
  <si>
    <t>09:43:30</t>
  </si>
  <si>
    <t>public_1476291433</t>
  </si>
  <si>
    <t>32:30:04</t>
  </si>
  <si>
    <t>08:30:04</t>
  </si>
  <si>
    <t>34:51:19</t>
  </si>
  <si>
    <t>10:51:19</t>
  </si>
  <si>
    <t>42:06:54</t>
  </si>
  <si>
    <t>18:06:54</t>
  </si>
  <si>
    <t>4739210_work</t>
  </si>
  <si>
    <t>30:24:40</t>
  </si>
  <si>
    <t>06:24:40</t>
  </si>
  <si>
    <t>32:47:59</t>
  </si>
  <si>
    <t>08:47:59</t>
  </si>
  <si>
    <t>40:40:48</t>
  </si>
  <si>
    <t>16:40:48</t>
  </si>
  <si>
    <t>4731214_work</t>
  </si>
  <si>
    <t>31:28:16</t>
  </si>
  <si>
    <t>07:28:16</t>
  </si>
  <si>
    <t>33:51:59</t>
  </si>
  <si>
    <t>09:51:59</t>
  </si>
  <si>
    <t>41:12:41</t>
  </si>
  <si>
    <t>17:12:41</t>
  </si>
  <si>
    <t>public_1476069376</t>
  </si>
  <si>
    <t>46:19:56</t>
  </si>
  <si>
    <t>22:19:56</t>
  </si>
  <si>
    <t>48:43:39</t>
  </si>
  <si>
    <t>60:01:18</t>
  </si>
  <si>
    <t>12:01:18</t>
  </si>
  <si>
    <t>public_1476180250</t>
  </si>
  <si>
    <t>44:38:20</t>
  </si>
  <si>
    <t>20:38:20</t>
  </si>
  <si>
    <t>47:03:44</t>
  </si>
  <si>
    <t>23:03:44</t>
  </si>
  <si>
    <t>62:38:14</t>
  </si>
  <si>
    <t>14:38:14</t>
  </si>
  <si>
    <t>public_1476138293</t>
  </si>
  <si>
    <t>43:11:32</t>
  </si>
  <si>
    <t>19:11:32</t>
  </si>
  <si>
    <t>45:39:14</t>
  </si>
  <si>
    <t>21:39:14</t>
  </si>
  <si>
    <t>59:49:05</t>
  </si>
  <si>
    <t>11:49:05</t>
  </si>
  <si>
    <t>public_1476065604</t>
  </si>
  <si>
    <t>29:48:26</t>
  </si>
  <si>
    <t>05:48:26</t>
  </si>
  <si>
    <t>32:16:19</t>
  </si>
  <si>
    <t>08:16:19</t>
  </si>
  <si>
    <t>39:14:13</t>
  </si>
  <si>
    <t>15:14:13</t>
  </si>
  <si>
    <t>public_1475953896</t>
  </si>
  <si>
    <t>33:21:26</t>
  </si>
  <si>
    <t>09:21:26</t>
  </si>
  <si>
    <t>35:49:39</t>
  </si>
  <si>
    <t>11:49:39</t>
  </si>
  <si>
    <t>36:05:17</t>
  </si>
  <si>
    <t>12:05:17</t>
  </si>
  <si>
    <t>7566296_work</t>
  </si>
  <si>
    <t>34:34:27</t>
  </si>
  <si>
    <t>10:34:27</t>
  </si>
  <si>
    <t>43:56:12</t>
  </si>
  <si>
    <t>19:56:12</t>
  </si>
  <si>
    <t>1943692_work</t>
  </si>
  <si>
    <t>32:20:28</t>
  </si>
  <si>
    <t>08:20:28</t>
  </si>
  <si>
    <t>34:50:49</t>
  </si>
  <si>
    <t>10:50:49</t>
  </si>
  <si>
    <t>42:02:05</t>
  </si>
  <si>
    <t>18:02:05</t>
  </si>
  <si>
    <t>7618270_work</t>
  </si>
  <si>
    <t>32:54:26</t>
  </si>
  <si>
    <t>08:54:26</t>
  </si>
  <si>
    <t>35:25:49</t>
  </si>
  <si>
    <t>11:25:49</t>
  </si>
  <si>
    <t>40:31:21</t>
  </si>
  <si>
    <t>16:31:21</t>
  </si>
  <si>
    <t>7514989_work</t>
  </si>
  <si>
    <t>31:55:00</t>
  </si>
  <si>
    <t>07:55:00</t>
  </si>
  <si>
    <t>41:46:46</t>
  </si>
  <si>
    <t>17:46:46</t>
  </si>
  <si>
    <t>2323821_work</t>
  </si>
  <si>
    <t>32:39:38</t>
  </si>
  <si>
    <t>08:39:38</t>
  </si>
  <si>
    <t>35:12:39</t>
  </si>
  <si>
    <t>11:12:39</t>
  </si>
  <si>
    <t>41:20:12</t>
  </si>
  <si>
    <t>17:20:12</t>
  </si>
  <si>
    <t>2317564_work</t>
  </si>
  <si>
    <t>31:46:48</t>
  </si>
  <si>
    <t>07:46:48</t>
  </si>
  <si>
    <t>34:20:24</t>
  </si>
  <si>
    <t>10:20:24</t>
  </si>
  <si>
    <t>39:48:31</t>
  </si>
  <si>
    <t>15:48:31</t>
  </si>
  <si>
    <t>public_1476040989</t>
  </si>
  <si>
    <t>27:11:51</t>
  </si>
  <si>
    <t>03:11:51</t>
  </si>
  <si>
    <t>29:46:49</t>
  </si>
  <si>
    <t>05:46:49</t>
  </si>
  <si>
    <t>34:23:46</t>
  </si>
  <si>
    <t>10:23:46</t>
  </si>
  <si>
    <t>9537015_work</t>
  </si>
  <si>
    <t>33:29:36</t>
  </si>
  <si>
    <t>09:29:36</t>
  </si>
  <si>
    <t>36:05:39</t>
  </si>
  <si>
    <t>12:05:39</t>
  </si>
  <si>
    <t>42:40:10</t>
  </si>
  <si>
    <t>18:40:10</t>
  </si>
  <si>
    <t>2329138_work</t>
  </si>
  <si>
    <t>31:48:09</t>
  </si>
  <si>
    <t>07:48:09</t>
  </si>
  <si>
    <t>34:24:29</t>
  </si>
  <si>
    <t>10:24:29</t>
  </si>
  <si>
    <t>40:49:57</t>
  </si>
  <si>
    <t>16:49:57</t>
  </si>
  <si>
    <t>public_1476291497</t>
  </si>
  <si>
    <t>32:45:02</t>
  </si>
  <si>
    <t>08:45:02</t>
  </si>
  <si>
    <t>35:22:39</t>
  </si>
  <si>
    <t>11:22:39</t>
  </si>
  <si>
    <t>4689570_work</t>
  </si>
  <si>
    <t>29:22:18</t>
  </si>
  <si>
    <t>05:22:18</t>
  </si>
  <si>
    <t>32:00:29</t>
  </si>
  <si>
    <t>08:00:29</t>
  </si>
  <si>
    <t>38:12:14</t>
  </si>
  <si>
    <t>14:12:14</t>
  </si>
  <si>
    <t>public_1476184124</t>
  </si>
  <si>
    <t>26:38:18</t>
  </si>
  <si>
    <t>02:38:18</t>
  </si>
  <si>
    <t>29:17:49</t>
  </si>
  <si>
    <t>05:17:49</t>
  </si>
  <si>
    <t>34:58:44</t>
  </si>
  <si>
    <t>10:58:44</t>
  </si>
  <si>
    <t>7616622_work</t>
  </si>
  <si>
    <t>34:30:54</t>
  </si>
  <si>
    <t>10:30:54</t>
  </si>
  <si>
    <t>37:29:14</t>
  </si>
  <si>
    <t>13:29:14</t>
  </si>
  <si>
    <t>43:17:03</t>
  </si>
  <si>
    <t>19:17:03</t>
  </si>
  <si>
    <t>1947048_work</t>
  </si>
  <si>
    <t>32:10:23</t>
  </si>
  <si>
    <t>08:10:23</t>
  </si>
  <si>
    <t>35:08:59</t>
  </si>
  <si>
    <t>11:08:59</t>
  </si>
  <si>
    <t>40:54:05</t>
  </si>
  <si>
    <t>16:54:05</t>
  </si>
  <si>
    <t>2325632_work</t>
  </si>
  <si>
    <t>30:18:48</t>
  </si>
  <si>
    <t>06:18:48</t>
  </si>
  <si>
    <t>33:18:23</t>
  </si>
  <si>
    <t>09:18:23</t>
  </si>
  <si>
    <t>45:59:57</t>
  </si>
  <si>
    <t>21:59:57</t>
  </si>
  <si>
    <t>49:00:29</t>
  </si>
  <si>
    <t>56:55:52</t>
  </si>
  <si>
    <t>08:55:52</t>
  </si>
  <si>
    <t>9540214_work</t>
  </si>
  <si>
    <t>34:25:39</t>
  </si>
  <si>
    <t>10:25:39</t>
  </si>
  <si>
    <t>40:12:11</t>
  </si>
  <si>
    <t>16:12:11</t>
  </si>
  <si>
    <t>1870234_work</t>
  </si>
  <si>
    <t>31:30:02</t>
  </si>
  <si>
    <t>07:30:02</t>
  </si>
  <si>
    <t>39:36:11</t>
  </si>
  <si>
    <t>15:36:11</t>
  </si>
  <si>
    <t>public_1476009174</t>
  </si>
  <si>
    <t>38:48:57</t>
  </si>
  <si>
    <t>14:48:57</t>
  </si>
  <si>
    <t>41:54:29</t>
  </si>
  <si>
    <t>17:54:29</t>
  </si>
  <si>
    <t>45:18:53</t>
  </si>
  <si>
    <t>21:18:53</t>
  </si>
  <si>
    <t>1983421_work</t>
  </si>
  <si>
    <t>32:00:12</t>
  </si>
  <si>
    <t>08:00:12</t>
  </si>
  <si>
    <t>35:06:09</t>
  </si>
  <si>
    <t>11:06:09</t>
  </si>
  <si>
    <t>40:25:09</t>
  </si>
  <si>
    <t>16:25:09</t>
  </si>
  <si>
    <t>2313367_work</t>
  </si>
  <si>
    <t>32:43:17</t>
  </si>
  <si>
    <t>08:43:17</t>
  </si>
  <si>
    <t>35:49:59</t>
  </si>
  <si>
    <t>11:49:59</t>
  </si>
  <si>
    <t>40:25:46</t>
  </si>
  <si>
    <t>16:25:46</t>
  </si>
  <si>
    <t>1838191_work</t>
  </si>
  <si>
    <t>32:52:49</t>
  </si>
  <si>
    <t>08:52:49</t>
  </si>
  <si>
    <t>36:01:24</t>
  </si>
  <si>
    <t>12:01:24</t>
  </si>
  <si>
    <t>41:19:47</t>
  </si>
  <si>
    <t>17:19:47</t>
  </si>
  <si>
    <t>7617217_work</t>
  </si>
  <si>
    <t>35:59:18</t>
  </si>
  <si>
    <t>11:59:18</t>
  </si>
  <si>
    <t>39:08:34</t>
  </si>
  <si>
    <t>15:08:34</t>
  </si>
  <si>
    <t>44:10:10</t>
  </si>
  <si>
    <t>20:10:10</t>
  </si>
  <si>
    <t>1882851_work</t>
  </si>
  <si>
    <t>31:03:39</t>
  </si>
  <si>
    <t>07:03:39</t>
  </si>
  <si>
    <t>34:13:09</t>
  </si>
  <si>
    <t>10:13:09</t>
  </si>
  <si>
    <t>40:38:09</t>
  </si>
  <si>
    <t>16:38:09</t>
  </si>
  <si>
    <t>7615882_work</t>
  </si>
  <si>
    <t>32:27:28</t>
  </si>
  <si>
    <t>08:27:28</t>
  </si>
  <si>
    <t>35:37:59</t>
  </si>
  <si>
    <t>11:37:59</t>
  </si>
  <si>
    <t>42:44:33</t>
  </si>
  <si>
    <t>18:44:33</t>
  </si>
  <si>
    <t>1999747_work</t>
  </si>
  <si>
    <t>32:49:45</t>
  </si>
  <si>
    <t>08:49:45</t>
  </si>
  <si>
    <t>36:01:29</t>
  </si>
  <si>
    <t>12:01:29</t>
  </si>
  <si>
    <t>42:14:03</t>
  </si>
  <si>
    <t>18:14:03</t>
  </si>
  <si>
    <t>1966563_work</t>
  </si>
  <si>
    <t>31:44:55</t>
  </si>
  <si>
    <t>07:44:55</t>
  </si>
  <si>
    <t>41:08:14</t>
  </si>
  <si>
    <t>17:08:14</t>
  </si>
  <si>
    <t>1940976_work</t>
  </si>
  <si>
    <t>32:14:00</t>
  </si>
  <si>
    <t>08:14:00</t>
  </si>
  <si>
    <t>35:26:29</t>
  </si>
  <si>
    <t>11:26:29</t>
  </si>
  <si>
    <t>39:08:26</t>
  </si>
  <si>
    <t>15:08:26</t>
  </si>
  <si>
    <t>4766827_work</t>
  </si>
  <si>
    <t>32:35:29</t>
  </si>
  <si>
    <t>08:35:29</t>
  </si>
  <si>
    <t>35:48:09</t>
  </si>
  <si>
    <t>11:48:09</t>
  </si>
  <si>
    <t>40:29:01</t>
  </si>
  <si>
    <t>16:29:01</t>
  </si>
  <si>
    <t>7399955_work</t>
  </si>
  <si>
    <t>32:44:45</t>
  </si>
  <si>
    <t>08:44:45</t>
  </si>
  <si>
    <t>35:58:44</t>
  </si>
  <si>
    <t>11:58:44</t>
  </si>
  <si>
    <t>40:34:56</t>
  </si>
  <si>
    <t>16:34:56</t>
  </si>
  <si>
    <t>public_1476253479</t>
  </si>
  <si>
    <t>45:24:28</t>
  </si>
  <si>
    <t>21:24:28</t>
  </si>
  <si>
    <t>48:38:34</t>
  </si>
  <si>
    <t>60:50:58</t>
  </si>
  <si>
    <t>12:50:58</t>
  </si>
  <si>
    <t>1944216_work</t>
  </si>
  <si>
    <t>32:49:04</t>
  </si>
  <si>
    <t>08:49:04</t>
  </si>
  <si>
    <t>36:04:49</t>
  </si>
  <si>
    <t>12:04:49</t>
  </si>
  <si>
    <t>43:41:48</t>
  </si>
  <si>
    <t>19:41:48</t>
  </si>
  <si>
    <t>1993035_work</t>
  </si>
  <si>
    <t>33:26:55</t>
  </si>
  <si>
    <t>09:26:55</t>
  </si>
  <si>
    <t>36:43:58</t>
  </si>
  <si>
    <t>12:43:58</t>
  </si>
  <si>
    <t>9541771_work</t>
  </si>
  <si>
    <t>29:32:11</t>
  </si>
  <si>
    <t>05:32:11</t>
  </si>
  <si>
    <t>32:50:04</t>
  </si>
  <si>
    <t>08:50:04</t>
  </si>
  <si>
    <t>37:58:10</t>
  </si>
  <si>
    <t>13:58:10</t>
  </si>
  <si>
    <t>7371678_work</t>
  </si>
  <si>
    <t>32:39:32</t>
  </si>
  <si>
    <t>08:39:32</t>
  </si>
  <si>
    <t>35:58:04</t>
  </si>
  <si>
    <t>11:58:04</t>
  </si>
  <si>
    <t>38:00:45</t>
  </si>
  <si>
    <t>14:00:45</t>
  </si>
  <si>
    <t>4704918_work</t>
  </si>
  <si>
    <t>31:59:19</t>
  </si>
  <si>
    <t>07:59:19</t>
  </si>
  <si>
    <t>35:18:49</t>
  </si>
  <si>
    <t>11:18:49</t>
  </si>
  <si>
    <t>40:32:25</t>
  </si>
  <si>
    <t>16:32:25</t>
  </si>
  <si>
    <t>2328024_work</t>
  </si>
  <si>
    <t>37:44:00</t>
  </si>
  <si>
    <t>13:44:00</t>
  </si>
  <si>
    <t>41:05:44</t>
  </si>
  <si>
    <t>17:05:44</t>
  </si>
  <si>
    <t>41:09:24</t>
  </si>
  <si>
    <t>17:09:24</t>
  </si>
  <si>
    <t>2322166_work</t>
  </si>
  <si>
    <t>31:52:22</t>
  </si>
  <si>
    <t>07:52:22</t>
  </si>
  <si>
    <t>35:15:14</t>
  </si>
  <si>
    <t>11:15:14</t>
  </si>
  <si>
    <t>40:50:44</t>
  </si>
  <si>
    <t>16:50:44</t>
  </si>
  <si>
    <t>2330455_work</t>
  </si>
  <si>
    <t>32:20:55</t>
  </si>
  <si>
    <t>08:20:55</t>
  </si>
  <si>
    <t>35:43:50</t>
  </si>
  <si>
    <t>11:43:50</t>
  </si>
  <si>
    <t>4795659_work</t>
  </si>
  <si>
    <t>32:03:21</t>
  </si>
  <si>
    <t>08:03:21</t>
  </si>
  <si>
    <t>35:26:39</t>
  </si>
  <si>
    <t>11:26:39</t>
  </si>
  <si>
    <t>40:30:46</t>
  </si>
  <si>
    <t>16:30:46</t>
  </si>
  <si>
    <t>4640224_work</t>
  </si>
  <si>
    <t>37:15:33</t>
  </si>
  <si>
    <t>13:15:33</t>
  </si>
  <si>
    <t>40:40:09</t>
  </si>
  <si>
    <t>16:40:09</t>
  </si>
  <si>
    <t>42:05:16</t>
  </si>
  <si>
    <t>18:05:16</t>
  </si>
  <si>
    <t>2324032_work</t>
  </si>
  <si>
    <t>31:26:24</t>
  </si>
  <si>
    <t>07:26:24</t>
  </si>
  <si>
    <t>34:53:44</t>
  </si>
  <si>
    <t>10:53:44</t>
  </si>
  <si>
    <t>40:02:55</t>
  </si>
  <si>
    <t>16:02:55</t>
  </si>
  <si>
    <t>2316310_work</t>
  </si>
  <si>
    <t>33:18:05</t>
  </si>
  <si>
    <t>09:18:05</t>
  </si>
  <si>
    <t>36:46:39</t>
  </si>
  <si>
    <t>12:46:39</t>
  </si>
  <si>
    <t>41:02:03</t>
  </si>
  <si>
    <t>17:02:03</t>
  </si>
  <si>
    <t>4588293_work</t>
  </si>
  <si>
    <t>33:44:36</t>
  </si>
  <si>
    <t>09:44:36</t>
  </si>
  <si>
    <t>37:14:09</t>
  </si>
  <si>
    <t>13:14:09</t>
  </si>
  <si>
    <t>41:31:43</t>
  </si>
  <si>
    <t>17:31:43</t>
  </si>
  <si>
    <t>3257156_work</t>
  </si>
  <si>
    <t>30:37:21</t>
  </si>
  <si>
    <t>06:37:21</t>
  </si>
  <si>
    <t>39:40:58</t>
  </si>
  <si>
    <t>15:40:58</t>
  </si>
  <si>
    <t>10003537_work</t>
  </si>
  <si>
    <t>38:05:52</t>
  </si>
  <si>
    <t>14:05:52</t>
  </si>
  <si>
    <t>41:37:24</t>
  </si>
  <si>
    <t>17:37:24</t>
  </si>
  <si>
    <t>2038684_work</t>
  </si>
  <si>
    <t>32:18:05</t>
  </si>
  <si>
    <t>08:18:05</t>
  </si>
  <si>
    <t>38:51:19</t>
  </si>
  <si>
    <t>14:51:19</t>
  </si>
  <si>
    <t>1862673_work</t>
  </si>
  <si>
    <t>33:10:11</t>
  </si>
  <si>
    <t>09:10:11</t>
  </si>
  <si>
    <t>36:42:24</t>
  </si>
  <si>
    <t>12:42:24</t>
  </si>
  <si>
    <t>40:55:31</t>
  </si>
  <si>
    <t>16:55:31</t>
  </si>
  <si>
    <t>2126618_work</t>
  </si>
  <si>
    <t>32:11:48</t>
  </si>
  <si>
    <t>08:11:48</t>
  </si>
  <si>
    <t>35:44:24</t>
  </si>
  <si>
    <t>11:44:24</t>
  </si>
  <si>
    <t>42:19:59</t>
  </si>
  <si>
    <t>18:19:59</t>
  </si>
  <si>
    <t>1880643_work</t>
  </si>
  <si>
    <t>34:18:19</t>
  </si>
  <si>
    <t>10:18:19</t>
  </si>
  <si>
    <t>37:53:29</t>
  </si>
  <si>
    <t>13:53:29</t>
  </si>
  <si>
    <t>42:46:37</t>
  </si>
  <si>
    <t>18:46:37</t>
  </si>
  <si>
    <t>10096676_work</t>
  </si>
  <si>
    <t>34:48:23</t>
  </si>
  <si>
    <t>10:48:23</t>
  </si>
  <si>
    <t>38:23:54</t>
  </si>
  <si>
    <t>14:23:54</t>
  </si>
  <si>
    <t>39:31:56</t>
  </si>
  <si>
    <t>15:31:56</t>
  </si>
  <si>
    <t>2318575_work</t>
  </si>
  <si>
    <t>31:20:30</t>
  </si>
  <si>
    <t>07:20:30</t>
  </si>
  <si>
    <t>34:56:25</t>
  </si>
  <si>
    <t>10:56:25</t>
  </si>
  <si>
    <t>2037252_work</t>
  </si>
  <si>
    <t>31:46:13</t>
  </si>
  <si>
    <t>07:46:13</t>
  </si>
  <si>
    <t>35:27:44</t>
  </si>
  <si>
    <t>11:27:44</t>
  </si>
  <si>
    <t>38:52:46</t>
  </si>
  <si>
    <t>14:52:46</t>
  </si>
  <si>
    <t>4924180_work</t>
  </si>
  <si>
    <t>34:44:32</t>
  </si>
  <si>
    <t>10:44:32</t>
  </si>
  <si>
    <t>38:29:24</t>
  </si>
  <si>
    <t>14:29:24</t>
  </si>
  <si>
    <t>42:01:57</t>
  </si>
  <si>
    <t>18:01:57</t>
  </si>
  <si>
    <t>2328292_work</t>
  </si>
  <si>
    <t>37:16:02</t>
  </si>
  <si>
    <t>13:16:02</t>
  </si>
  <si>
    <t>41:04:59</t>
  </si>
  <si>
    <t>17:04:59</t>
  </si>
  <si>
    <t>41:30:03</t>
  </si>
  <si>
    <t>17:30:03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</si>
</sst>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9"/>
      <color theme="1"/>
      <name val="Segoe UI"/>
      <family val="2"/>
    </font>
    <font>
      <sz val="9.9"/>
      <color rgb="FFFF0000"/>
      <name val="Segoe UI"/>
      <family val="2"/>
    </font>
    <font>
      <sz val="9.9"/>
      <color rgb="FF07272D"/>
      <name val="Segoe U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1" applyNumberFormat="1" applyFont="1"/>
    <xf numFmtId="0" fontId="2" fillId="0" borderId="0" xfId="0" applyFont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4" fillId="3" borderId="0" xfId="0" applyFont="1" applyFill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5" fillId="0" borderId="1" xfId="0" applyFont="1" applyBorder="1" applyAlignment="1">
      <alignment horizontal="center" vertical="top"/>
    </xf>
    <xf numFmtId="0" fontId="0" fillId="0" borderId="0" xfId="0"/>
    <xf numFmtId="0" fontId="5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zoomScale="130" zoomScaleNormal="130" workbookViewId="0">
      <selection activeCell="G1" sqref="G1"/>
    </sheetView>
  </sheetViews>
  <sheetFormatPr defaultRowHeight="14.5" x14ac:dyDescent="0.35"/>
  <cols>
    <col min="4" max="5" width="12" bestFit="1" customWidth="1"/>
    <col min="6" max="6" width="12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10" x14ac:dyDescent="0.35">
      <c r="A2">
        <v>1</v>
      </c>
      <c r="B2">
        <v>10</v>
      </c>
      <c r="C2">
        <v>16</v>
      </c>
      <c r="D2">
        <v>0.1837455699700119</v>
      </c>
      <c r="E2">
        <v>0.73286223863137945</v>
      </c>
      <c r="F2">
        <v>40</v>
      </c>
      <c r="G2">
        <v>1</v>
      </c>
      <c r="I2">
        <f>E2-D2</f>
        <v>0.54911666866136755</v>
      </c>
      <c r="J2">
        <f>C2-B2</f>
        <v>6</v>
      </c>
    </row>
    <row r="3" spans="1:10" x14ac:dyDescent="0.35">
      <c r="A3">
        <v>2</v>
      </c>
      <c r="B3">
        <v>10</v>
      </c>
      <c r="C3">
        <v>12</v>
      </c>
      <c r="D3">
        <v>0.47510174118307091</v>
      </c>
      <c r="E3">
        <v>0.4861374158611082</v>
      </c>
      <c r="F3">
        <v>40</v>
      </c>
      <c r="G3">
        <v>1</v>
      </c>
      <c r="I3">
        <f t="shared" ref="I3:I39" si="0">E3-D3</f>
        <v>1.1035674678037288E-2</v>
      </c>
      <c r="J3">
        <f t="shared" ref="J3:J40" si="1">C3-B3</f>
        <v>2</v>
      </c>
    </row>
    <row r="4" spans="1:10" x14ac:dyDescent="0.35">
      <c r="A4">
        <v>3</v>
      </c>
      <c r="B4">
        <v>10</v>
      </c>
      <c r="C4">
        <v>21</v>
      </c>
      <c r="D4">
        <v>0.45</v>
      </c>
      <c r="E4">
        <v>0.78</v>
      </c>
      <c r="F4">
        <v>40</v>
      </c>
      <c r="G4">
        <v>1</v>
      </c>
      <c r="I4">
        <f t="shared" si="0"/>
        <v>0.33</v>
      </c>
      <c r="J4">
        <f t="shared" si="1"/>
        <v>11</v>
      </c>
    </row>
    <row r="5" spans="1:10" x14ac:dyDescent="0.35">
      <c r="A5">
        <v>4</v>
      </c>
      <c r="B5">
        <v>7</v>
      </c>
      <c r="C5">
        <v>14</v>
      </c>
      <c r="D5">
        <v>0.18103350608643037</v>
      </c>
      <c r="E5">
        <v>0.79172128488458238</v>
      </c>
      <c r="F5">
        <v>40</v>
      </c>
      <c r="G5">
        <v>1</v>
      </c>
      <c r="I5">
        <f t="shared" si="0"/>
        <v>0.61068777879815195</v>
      </c>
      <c r="J5">
        <f t="shared" si="1"/>
        <v>7</v>
      </c>
    </row>
    <row r="6" spans="1:10" x14ac:dyDescent="0.35">
      <c r="A6">
        <v>5</v>
      </c>
      <c r="B6">
        <v>5</v>
      </c>
      <c r="C6">
        <v>8</v>
      </c>
      <c r="D6">
        <v>0.60256480403942836</v>
      </c>
      <c r="E6">
        <v>0.9</v>
      </c>
      <c r="F6">
        <v>40</v>
      </c>
      <c r="G6">
        <v>1</v>
      </c>
      <c r="I6">
        <f t="shared" si="0"/>
        <v>0.29743519596057166</v>
      </c>
      <c r="J6">
        <f t="shared" si="1"/>
        <v>3</v>
      </c>
    </row>
    <row r="7" spans="1:10" x14ac:dyDescent="0.35">
      <c r="A7">
        <v>6</v>
      </c>
      <c r="B7">
        <v>11</v>
      </c>
      <c r="C7">
        <v>23</v>
      </c>
      <c r="D7">
        <v>0.16487576942357085</v>
      </c>
      <c r="E7">
        <v>0.89198433462249338</v>
      </c>
      <c r="F7">
        <v>40</v>
      </c>
      <c r="G7">
        <v>1</v>
      </c>
      <c r="I7">
        <f t="shared" si="0"/>
        <v>0.72710856519892253</v>
      </c>
      <c r="J7">
        <f t="shared" si="1"/>
        <v>12</v>
      </c>
    </row>
    <row r="8" spans="1:10" x14ac:dyDescent="0.35">
      <c r="A8">
        <v>7</v>
      </c>
      <c r="B8">
        <v>18</v>
      </c>
      <c r="C8">
        <v>22</v>
      </c>
      <c r="D8">
        <v>0.48020711816055295</v>
      </c>
      <c r="E8">
        <v>0.73563609490706505</v>
      </c>
      <c r="F8">
        <v>40</v>
      </c>
      <c r="G8">
        <v>1</v>
      </c>
      <c r="I8">
        <f t="shared" si="0"/>
        <v>0.2554289767465121</v>
      </c>
      <c r="J8">
        <f t="shared" si="1"/>
        <v>4</v>
      </c>
    </row>
    <row r="9" spans="1:10" x14ac:dyDescent="0.35">
      <c r="A9">
        <v>8</v>
      </c>
      <c r="B9">
        <v>14</v>
      </c>
      <c r="C9">
        <v>19</v>
      </c>
      <c r="D9">
        <v>0.20632810003010774</v>
      </c>
      <c r="E9">
        <v>0.55449048761949693</v>
      </c>
      <c r="F9">
        <v>40</v>
      </c>
      <c r="G9">
        <v>1</v>
      </c>
      <c r="I9">
        <f t="shared" si="0"/>
        <v>0.34816238758938922</v>
      </c>
      <c r="J9">
        <f t="shared" si="1"/>
        <v>5</v>
      </c>
    </row>
    <row r="10" spans="1:10" x14ac:dyDescent="0.35">
      <c r="A10">
        <v>9</v>
      </c>
      <c r="B10">
        <v>12</v>
      </c>
      <c r="C10">
        <v>22</v>
      </c>
      <c r="D10">
        <v>0.6107232741432953</v>
      </c>
      <c r="E10">
        <v>0.95452185010510071</v>
      </c>
      <c r="F10">
        <v>40</v>
      </c>
      <c r="G10">
        <v>1</v>
      </c>
      <c r="I10">
        <f t="shared" si="0"/>
        <v>0.34379857596180541</v>
      </c>
      <c r="J10">
        <f t="shared" si="1"/>
        <v>10</v>
      </c>
    </row>
    <row r="11" spans="1:10" x14ac:dyDescent="0.35">
      <c r="A11">
        <v>10</v>
      </c>
      <c r="B11">
        <v>18</v>
      </c>
      <c r="C11">
        <v>23</v>
      </c>
      <c r="D11">
        <v>0.32</v>
      </c>
      <c r="E11">
        <v>0.6458069626624221</v>
      </c>
      <c r="F11">
        <v>40</v>
      </c>
      <c r="G11">
        <v>1</v>
      </c>
      <c r="I11">
        <f t="shared" si="0"/>
        <v>0.32580696266242209</v>
      </c>
      <c r="J11">
        <f t="shared" si="1"/>
        <v>5</v>
      </c>
    </row>
    <row r="12" spans="1:10" x14ac:dyDescent="0.35">
      <c r="A12">
        <v>11</v>
      </c>
      <c r="B12">
        <v>5</v>
      </c>
      <c r="C12">
        <v>16</v>
      </c>
      <c r="D12">
        <v>0.23</v>
      </c>
      <c r="E12">
        <v>0.50393319441382167</v>
      </c>
      <c r="F12">
        <v>40</v>
      </c>
      <c r="G12">
        <v>1</v>
      </c>
      <c r="I12">
        <f t="shared" si="0"/>
        <v>0.27393319441382169</v>
      </c>
      <c r="J12">
        <f t="shared" si="1"/>
        <v>11</v>
      </c>
    </row>
    <row r="13" spans="1:10" x14ac:dyDescent="0.35">
      <c r="A13">
        <v>12</v>
      </c>
      <c r="B13">
        <v>18</v>
      </c>
      <c r="C13">
        <v>21</v>
      </c>
      <c r="D13">
        <v>0.16961173878048286</v>
      </c>
      <c r="E13">
        <v>0.57613043090528615</v>
      </c>
      <c r="F13">
        <v>40</v>
      </c>
      <c r="G13">
        <v>1</v>
      </c>
      <c r="I13">
        <f t="shared" si="0"/>
        <v>0.40651869212480329</v>
      </c>
      <c r="J13">
        <f t="shared" si="1"/>
        <v>3</v>
      </c>
    </row>
    <row r="14" spans="1:10" x14ac:dyDescent="0.35">
      <c r="A14">
        <v>13</v>
      </c>
      <c r="B14">
        <v>7</v>
      </c>
      <c r="C14">
        <v>16</v>
      </c>
      <c r="D14">
        <v>0.36</v>
      </c>
      <c r="E14">
        <v>0.41713930324034298</v>
      </c>
      <c r="F14">
        <v>40</v>
      </c>
      <c r="G14">
        <v>1</v>
      </c>
      <c r="I14">
        <f t="shared" si="0"/>
        <v>5.7139303240342998E-2</v>
      </c>
      <c r="J14">
        <f t="shared" si="1"/>
        <v>9</v>
      </c>
    </row>
    <row r="15" spans="1:10" x14ac:dyDescent="0.35">
      <c r="A15">
        <v>14</v>
      </c>
      <c r="B15">
        <v>6</v>
      </c>
      <c r="C15">
        <v>15</v>
      </c>
      <c r="D15">
        <v>0.15</v>
      </c>
      <c r="E15">
        <v>0.49932890245055256</v>
      </c>
      <c r="F15">
        <v>40</v>
      </c>
      <c r="G15">
        <v>1</v>
      </c>
      <c r="I15">
        <f t="shared" si="0"/>
        <v>0.34932890245055259</v>
      </c>
      <c r="J15">
        <f t="shared" si="1"/>
        <v>9</v>
      </c>
    </row>
    <row r="16" spans="1:10" x14ac:dyDescent="0.35">
      <c r="A16">
        <v>15</v>
      </c>
      <c r="B16">
        <v>11</v>
      </c>
      <c r="C16">
        <v>21</v>
      </c>
      <c r="D16">
        <v>0.44528640090258165</v>
      </c>
      <c r="E16">
        <v>0.91412765474263857</v>
      </c>
      <c r="F16">
        <v>40</v>
      </c>
      <c r="G16">
        <v>1</v>
      </c>
      <c r="I16">
        <f t="shared" si="0"/>
        <v>0.46884125384005693</v>
      </c>
      <c r="J16">
        <f t="shared" si="1"/>
        <v>10</v>
      </c>
    </row>
    <row r="17" spans="1:10" x14ac:dyDescent="0.35">
      <c r="A17">
        <v>16</v>
      </c>
      <c r="B17">
        <v>19</v>
      </c>
      <c r="C17">
        <v>22</v>
      </c>
      <c r="D17">
        <v>0.67852094724481149</v>
      </c>
      <c r="E17">
        <v>0.85289162535515728</v>
      </c>
      <c r="F17">
        <v>40</v>
      </c>
      <c r="G17">
        <v>1</v>
      </c>
      <c r="I17">
        <f t="shared" si="0"/>
        <v>0.17437067811034579</v>
      </c>
      <c r="J17">
        <f t="shared" si="1"/>
        <v>3</v>
      </c>
    </row>
    <row r="18" spans="1:10" x14ac:dyDescent="0.35">
      <c r="A18">
        <v>17</v>
      </c>
      <c r="B18">
        <v>11</v>
      </c>
      <c r="C18">
        <v>19</v>
      </c>
      <c r="D18">
        <v>0.45176725295178177</v>
      </c>
      <c r="E18">
        <v>0.82132360594642706</v>
      </c>
      <c r="F18">
        <v>40</v>
      </c>
      <c r="G18">
        <v>1</v>
      </c>
      <c r="I18">
        <f t="shared" si="0"/>
        <v>0.36955635299464529</v>
      </c>
      <c r="J18">
        <f t="shared" si="1"/>
        <v>8</v>
      </c>
    </row>
    <row r="19" spans="1:10" x14ac:dyDescent="0.35">
      <c r="A19">
        <v>18</v>
      </c>
      <c r="B19">
        <v>20</v>
      </c>
      <c r="C19">
        <v>23</v>
      </c>
      <c r="D19">
        <v>0.60682234036799843</v>
      </c>
      <c r="E19">
        <v>0.91489159136574139</v>
      </c>
      <c r="F19">
        <v>40</v>
      </c>
      <c r="G19">
        <v>1</v>
      </c>
      <c r="I19">
        <f t="shared" si="0"/>
        <v>0.30806925099774296</v>
      </c>
      <c r="J19">
        <f t="shared" si="1"/>
        <v>3</v>
      </c>
    </row>
    <row r="20" spans="1:10" x14ac:dyDescent="0.35">
      <c r="A20">
        <v>19</v>
      </c>
      <c r="B20">
        <v>17</v>
      </c>
      <c r="C20">
        <v>18</v>
      </c>
      <c r="D20">
        <v>0.3001133473590486</v>
      </c>
      <c r="E20">
        <v>0.58523685889203225</v>
      </c>
      <c r="F20">
        <v>40</v>
      </c>
      <c r="G20">
        <v>1</v>
      </c>
      <c r="I20">
        <f t="shared" si="0"/>
        <v>0.28512351153298365</v>
      </c>
      <c r="J20">
        <f t="shared" si="1"/>
        <v>1</v>
      </c>
    </row>
    <row r="21" spans="1:10" x14ac:dyDescent="0.35">
      <c r="A21">
        <v>20</v>
      </c>
      <c r="B21">
        <v>11</v>
      </c>
      <c r="C21">
        <v>19</v>
      </c>
      <c r="D21">
        <v>0.59847028015819859</v>
      </c>
      <c r="E21">
        <v>0.69931480266724089</v>
      </c>
      <c r="F21">
        <v>40</v>
      </c>
      <c r="G21">
        <v>1</v>
      </c>
      <c r="I21">
        <f t="shared" si="0"/>
        <v>0.1008445225090423</v>
      </c>
      <c r="J21">
        <f t="shared" si="1"/>
        <v>8</v>
      </c>
    </row>
    <row r="22" spans="1:10" x14ac:dyDescent="0.35">
      <c r="A22">
        <v>21</v>
      </c>
      <c r="B22">
        <v>12</v>
      </c>
      <c r="C22">
        <v>20</v>
      </c>
      <c r="D22">
        <v>0.22163069234052929</v>
      </c>
      <c r="E22">
        <v>0.52209439529776991</v>
      </c>
      <c r="F22">
        <v>40</v>
      </c>
      <c r="G22">
        <v>1</v>
      </c>
      <c r="I22">
        <f t="shared" si="0"/>
        <v>0.30046370295724062</v>
      </c>
      <c r="J22">
        <f t="shared" si="1"/>
        <v>8</v>
      </c>
    </row>
    <row r="23" spans="1:10" x14ac:dyDescent="0.35">
      <c r="A23">
        <v>22</v>
      </c>
      <c r="B23">
        <v>17</v>
      </c>
      <c r="C23">
        <v>23</v>
      </c>
      <c r="D23">
        <v>0.50936231000384891</v>
      </c>
      <c r="E23">
        <v>0.68585164879654714</v>
      </c>
      <c r="F23">
        <v>40</v>
      </c>
      <c r="G23">
        <v>1</v>
      </c>
      <c r="I23">
        <f t="shared" si="0"/>
        <v>0.17648933879269824</v>
      </c>
      <c r="J23">
        <f t="shared" si="1"/>
        <v>6</v>
      </c>
    </row>
    <row r="24" spans="1:10" x14ac:dyDescent="0.35">
      <c r="A24">
        <v>23</v>
      </c>
      <c r="B24">
        <v>16</v>
      </c>
      <c r="C24">
        <v>23</v>
      </c>
      <c r="D24">
        <v>0.68849653389644205</v>
      </c>
      <c r="E24">
        <v>0.9466794556547099</v>
      </c>
      <c r="F24">
        <v>40</v>
      </c>
      <c r="G24">
        <v>1</v>
      </c>
      <c r="I24">
        <f t="shared" si="0"/>
        <v>0.25818292175826785</v>
      </c>
      <c r="J24">
        <f t="shared" si="1"/>
        <v>7</v>
      </c>
    </row>
    <row r="25" spans="1:10" x14ac:dyDescent="0.35">
      <c r="A25">
        <v>24</v>
      </c>
      <c r="B25">
        <v>6</v>
      </c>
      <c r="C25">
        <v>22</v>
      </c>
      <c r="D25">
        <v>0.41005307776891609</v>
      </c>
      <c r="E25">
        <v>0.57760098240656776</v>
      </c>
      <c r="F25">
        <v>40</v>
      </c>
      <c r="G25">
        <v>1</v>
      </c>
      <c r="I25">
        <f t="shared" si="0"/>
        <v>0.16754790463765168</v>
      </c>
      <c r="J25">
        <f t="shared" si="1"/>
        <v>16</v>
      </c>
    </row>
    <row r="26" spans="1:10" x14ac:dyDescent="0.35">
      <c r="A26">
        <v>25</v>
      </c>
      <c r="B26">
        <v>7</v>
      </c>
      <c r="C26">
        <v>16</v>
      </c>
      <c r="D26">
        <v>0.42073265949769734</v>
      </c>
      <c r="E26">
        <v>0.96294865181015932</v>
      </c>
      <c r="F26">
        <v>40</v>
      </c>
      <c r="G26">
        <v>1</v>
      </c>
      <c r="I26">
        <f t="shared" si="0"/>
        <v>0.54221599231246198</v>
      </c>
      <c r="J26">
        <f t="shared" si="1"/>
        <v>9</v>
      </c>
    </row>
    <row r="27" spans="1:10" x14ac:dyDescent="0.35">
      <c r="A27">
        <v>26</v>
      </c>
      <c r="B27">
        <v>18</v>
      </c>
      <c r="C27">
        <v>23</v>
      </c>
      <c r="D27">
        <v>0.54110122605171684</v>
      </c>
      <c r="E27">
        <v>0.68068798714352863</v>
      </c>
      <c r="F27">
        <v>40</v>
      </c>
      <c r="G27">
        <v>1</v>
      </c>
      <c r="I27">
        <f t="shared" si="0"/>
        <v>0.13958676109181178</v>
      </c>
      <c r="J27">
        <f t="shared" si="1"/>
        <v>5</v>
      </c>
    </row>
    <row r="28" spans="1:10" x14ac:dyDescent="0.35">
      <c r="A28">
        <v>27</v>
      </c>
      <c r="B28">
        <v>13</v>
      </c>
      <c r="C28">
        <v>14</v>
      </c>
      <c r="D28">
        <v>0.35480211167614684</v>
      </c>
      <c r="E28">
        <v>0.42223188988459831</v>
      </c>
      <c r="F28">
        <v>40</v>
      </c>
      <c r="G28">
        <v>1</v>
      </c>
      <c r="I28">
        <f t="shared" si="0"/>
        <v>6.7429778208451474E-2</v>
      </c>
      <c r="J28">
        <f t="shared" si="1"/>
        <v>1</v>
      </c>
    </row>
    <row r="29" spans="1:10" x14ac:dyDescent="0.35">
      <c r="A29">
        <v>28</v>
      </c>
      <c r="B29">
        <v>6</v>
      </c>
      <c r="C29">
        <v>19</v>
      </c>
      <c r="D29">
        <v>0.19027912887436385</v>
      </c>
      <c r="E29">
        <v>0.99870045876380165</v>
      </c>
      <c r="F29">
        <v>40</v>
      </c>
      <c r="G29">
        <v>1</v>
      </c>
      <c r="I29">
        <f t="shared" si="0"/>
        <v>0.80842132988943782</v>
      </c>
      <c r="J29">
        <f t="shared" si="1"/>
        <v>13</v>
      </c>
    </row>
    <row r="30" spans="1:10" x14ac:dyDescent="0.35">
      <c r="A30">
        <v>29</v>
      </c>
      <c r="B30">
        <v>6</v>
      </c>
      <c r="C30">
        <v>16</v>
      </c>
      <c r="D30">
        <v>0.37002979825251925</v>
      </c>
      <c r="E30">
        <v>0.54257754404555547</v>
      </c>
      <c r="F30">
        <v>40</v>
      </c>
      <c r="G30">
        <v>1</v>
      </c>
      <c r="I30">
        <f t="shared" si="0"/>
        <v>0.17254774579303622</v>
      </c>
      <c r="J30">
        <f t="shared" si="1"/>
        <v>10</v>
      </c>
    </row>
    <row r="31" spans="1:10" x14ac:dyDescent="0.35">
      <c r="A31">
        <v>30</v>
      </c>
      <c r="B31">
        <v>15</v>
      </c>
      <c r="C31">
        <v>23</v>
      </c>
      <c r="D31">
        <v>0.13964447982484526</v>
      </c>
      <c r="E31">
        <v>0.70777592407675582</v>
      </c>
      <c r="F31">
        <v>40</v>
      </c>
      <c r="G31">
        <v>1</v>
      </c>
      <c r="I31">
        <f t="shared" si="0"/>
        <v>0.56813144425191053</v>
      </c>
      <c r="J31">
        <f t="shared" si="1"/>
        <v>8</v>
      </c>
    </row>
    <row r="32" spans="1:10" x14ac:dyDescent="0.35">
      <c r="A32">
        <v>31</v>
      </c>
      <c r="B32">
        <v>8</v>
      </c>
      <c r="C32">
        <v>16</v>
      </c>
      <c r="D32">
        <v>0.43983691350249288</v>
      </c>
      <c r="E32">
        <v>0.77026619713915145</v>
      </c>
      <c r="F32">
        <v>40</v>
      </c>
      <c r="G32">
        <v>1</v>
      </c>
      <c r="I32">
        <f t="shared" si="0"/>
        <v>0.33042928363665858</v>
      </c>
      <c r="J32">
        <f t="shared" si="1"/>
        <v>8</v>
      </c>
    </row>
    <row r="33" spans="1:10" x14ac:dyDescent="0.35">
      <c r="A33">
        <v>32</v>
      </c>
      <c r="B33">
        <v>11</v>
      </c>
      <c r="C33">
        <v>17</v>
      </c>
      <c r="D33">
        <v>0.28477054990855699</v>
      </c>
      <c r="E33">
        <v>0.80090705579414356</v>
      </c>
      <c r="F33">
        <v>40</v>
      </c>
      <c r="G33">
        <v>1</v>
      </c>
      <c r="I33">
        <f t="shared" si="0"/>
        <v>0.51613650588558657</v>
      </c>
      <c r="J33">
        <f t="shared" si="1"/>
        <v>6</v>
      </c>
    </row>
    <row r="34" spans="1:10" x14ac:dyDescent="0.35">
      <c r="A34">
        <v>33</v>
      </c>
      <c r="B34">
        <v>7</v>
      </c>
      <c r="C34">
        <v>17</v>
      </c>
      <c r="D34">
        <v>0.68452565816941691</v>
      </c>
      <c r="E34">
        <v>0.95717625515837479</v>
      </c>
      <c r="F34">
        <v>40</v>
      </c>
      <c r="G34">
        <v>1</v>
      </c>
      <c r="I34">
        <f t="shared" si="0"/>
        <v>0.27265059698895788</v>
      </c>
      <c r="J34">
        <f t="shared" si="1"/>
        <v>10</v>
      </c>
    </row>
    <row r="35" spans="1:10" x14ac:dyDescent="0.35">
      <c r="A35">
        <v>34</v>
      </c>
      <c r="B35">
        <v>4</v>
      </c>
      <c r="C35">
        <v>15</v>
      </c>
      <c r="D35">
        <v>0.23960062981115451</v>
      </c>
      <c r="E35">
        <v>0.61948684496131179</v>
      </c>
      <c r="F35">
        <v>40</v>
      </c>
      <c r="G35">
        <v>1</v>
      </c>
      <c r="I35">
        <f t="shared" si="0"/>
        <v>0.3798862151501573</v>
      </c>
      <c r="J35">
        <f t="shared" si="1"/>
        <v>11</v>
      </c>
    </row>
    <row r="36" spans="1:10" x14ac:dyDescent="0.35">
      <c r="A36">
        <v>35</v>
      </c>
      <c r="B36">
        <v>16</v>
      </c>
      <c r="C36">
        <v>23</v>
      </c>
      <c r="D36">
        <v>0.45864987703025029</v>
      </c>
      <c r="E36">
        <v>0.76390268286980323</v>
      </c>
      <c r="F36">
        <v>40</v>
      </c>
      <c r="G36">
        <v>1</v>
      </c>
      <c r="I36">
        <f t="shared" si="0"/>
        <v>0.30525280583955294</v>
      </c>
      <c r="J36">
        <f t="shared" si="1"/>
        <v>7</v>
      </c>
    </row>
    <row r="37" spans="1:10" x14ac:dyDescent="0.35">
      <c r="A37">
        <v>36</v>
      </c>
      <c r="B37">
        <v>15</v>
      </c>
      <c r="C37">
        <v>20</v>
      </c>
      <c r="D37">
        <v>0.48760881088381447</v>
      </c>
      <c r="E37">
        <v>0.80674581355137809</v>
      </c>
      <c r="F37">
        <v>40</v>
      </c>
      <c r="G37">
        <v>1</v>
      </c>
      <c r="I37">
        <f t="shared" si="0"/>
        <v>0.31913700266756362</v>
      </c>
      <c r="J37">
        <f t="shared" si="1"/>
        <v>5</v>
      </c>
    </row>
    <row r="38" spans="1:10" x14ac:dyDescent="0.35">
      <c r="A38">
        <v>37</v>
      </c>
      <c r="B38">
        <v>12</v>
      </c>
      <c r="C38">
        <v>20</v>
      </c>
      <c r="D38">
        <v>0.18512612196044903</v>
      </c>
      <c r="E38">
        <v>0.82453364469602275</v>
      </c>
      <c r="F38">
        <v>40</v>
      </c>
      <c r="G38">
        <v>1</v>
      </c>
      <c r="I38">
        <f t="shared" si="0"/>
        <v>0.63940752273557377</v>
      </c>
      <c r="J38">
        <f t="shared" si="1"/>
        <v>8</v>
      </c>
    </row>
    <row r="39" spans="1:10" x14ac:dyDescent="0.35">
      <c r="A39">
        <v>38</v>
      </c>
      <c r="B39">
        <v>15</v>
      </c>
      <c r="C39">
        <v>21</v>
      </c>
      <c r="D39">
        <v>0.22</v>
      </c>
      <c r="E39">
        <v>0.4144843320820088</v>
      </c>
      <c r="F39">
        <v>40</v>
      </c>
      <c r="G39">
        <v>1</v>
      </c>
      <c r="I39">
        <f t="shared" si="0"/>
        <v>0.1944843320820088</v>
      </c>
      <c r="J39">
        <f t="shared" si="1"/>
        <v>6</v>
      </c>
    </row>
    <row r="40" spans="1:10" x14ac:dyDescent="0.35">
      <c r="A40">
        <v>39</v>
      </c>
      <c r="B40">
        <v>14</v>
      </c>
      <c r="C40">
        <v>20</v>
      </c>
      <c r="D40">
        <v>0.3274306633865201</v>
      </c>
      <c r="E40">
        <v>0.91896802336323913</v>
      </c>
      <c r="F40">
        <v>40</v>
      </c>
      <c r="G40">
        <v>1</v>
      </c>
      <c r="I40">
        <f>E40-D40</f>
        <v>0.59153735997671908</v>
      </c>
      <c r="J40">
        <f t="shared" si="1"/>
        <v>6</v>
      </c>
    </row>
  </sheetData>
  <autoFilter ref="I1:I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EDBE-EB35-4B5D-AB8D-2D04299B87C2}">
  <dimension ref="A1:M120"/>
  <sheetViews>
    <sheetView workbookViewId="0">
      <selection activeCell="C2" sqref="C2:C120"/>
    </sheetView>
  </sheetViews>
  <sheetFormatPr defaultRowHeight="14.5" x14ac:dyDescent="0.35"/>
  <cols>
    <col min="10" max="10" width="14" bestFit="1" customWidth="1"/>
  </cols>
  <sheetData>
    <row r="1" spans="1:13" x14ac:dyDescent="0.35">
      <c r="A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t="s">
        <v>7</v>
      </c>
      <c r="J1" t="s">
        <v>9</v>
      </c>
    </row>
    <row r="2" spans="1:13" x14ac:dyDescent="0.35">
      <c r="A2">
        <v>1</v>
      </c>
      <c r="B2">
        <v>20</v>
      </c>
      <c r="C2">
        <v>33</v>
      </c>
      <c r="D2">
        <v>0.36699999999999999</v>
      </c>
      <c r="E2">
        <v>1</v>
      </c>
      <c r="F2">
        <v>52</v>
      </c>
      <c r="G2">
        <v>1</v>
      </c>
      <c r="I2">
        <f>C2-B2</f>
        <v>13</v>
      </c>
      <c r="J2">
        <v>1</v>
      </c>
      <c r="L2">
        <f>C2+5</f>
        <v>38</v>
      </c>
      <c r="M2">
        <f>L2-9</f>
        <v>29</v>
      </c>
    </row>
    <row r="3" spans="1:13" x14ac:dyDescent="0.35">
      <c r="A3">
        <v>2</v>
      </c>
      <c r="B3">
        <v>17</v>
      </c>
      <c r="C3">
        <v>31</v>
      </c>
      <c r="D3">
        <v>0.64400000000000002</v>
      </c>
      <c r="E3">
        <v>1</v>
      </c>
      <c r="F3">
        <v>52</v>
      </c>
      <c r="G3">
        <v>1</v>
      </c>
      <c r="I3">
        <f t="shared" ref="I3:I66" si="0">C3-B3</f>
        <v>14</v>
      </c>
      <c r="J3">
        <v>1</v>
      </c>
      <c r="L3">
        <f t="shared" ref="L3:L66" si="1">C3+5</f>
        <v>36</v>
      </c>
      <c r="M3">
        <f t="shared" ref="M3:M66" si="2">L3-9</f>
        <v>27</v>
      </c>
    </row>
    <row r="4" spans="1:13" x14ac:dyDescent="0.35">
      <c r="A4">
        <v>3</v>
      </c>
      <c r="B4">
        <v>4</v>
      </c>
      <c r="C4">
        <v>17</v>
      </c>
      <c r="D4">
        <v>0.36299999999999999</v>
      </c>
      <c r="E4">
        <v>1</v>
      </c>
      <c r="F4">
        <v>52</v>
      </c>
      <c r="G4">
        <v>1</v>
      </c>
      <c r="I4">
        <f t="shared" si="0"/>
        <v>13</v>
      </c>
      <c r="J4">
        <v>1</v>
      </c>
      <c r="L4">
        <f t="shared" si="1"/>
        <v>22</v>
      </c>
      <c r="M4">
        <f t="shared" si="2"/>
        <v>13</v>
      </c>
    </row>
    <row r="5" spans="1:13" x14ac:dyDescent="0.35">
      <c r="A5">
        <v>4</v>
      </c>
      <c r="B5">
        <v>1</v>
      </c>
      <c r="C5">
        <v>14</v>
      </c>
      <c r="D5">
        <v>0.432</v>
      </c>
      <c r="E5">
        <v>1</v>
      </c>
      <c r="F5">
        <v>60</v>
      </c>
      <c r="G5">
        <v>1</v>
      </c>
      <c r="I5">
        <f t="shared" si="0"/>
        <v>13</v>
      </c>
      <c r="J5">
        <v>1</v>
      </c>
      <c r="L5">
        <f t="shared" si="1"/>
        <v>19</v>
      </c>
      <c r="M5">
        <f t="shared" si="2"/>
        <v>10</v>
      </c>
    </row>
    <row r="6" spans="1:13" x14ac:dyDescent="0.35">
      <c r="A6">
        <v>5</v>
      </c>
      <c r="B6">
        <v>14</v>
      </c>
      <c r="C6">
        <v>28</v>
      </c>
      <c r="D6">
        <v>0.433</v>
      </c>
      <c r="E6">
        <v>1</v>
      </c>
      <c r="F6">
        <v>34</v>
      </c>
      <c r="G6">
        <v>1</v>
      </c>
      <c r="I6">
        <f t="shared" si="0"/>
        <v>14</v>
      </c>
      <c r="J6">
        <v>1</v>
      </c>
      <c r="L6">
        <f t="shared" si="1"/>
        <v>33</v>
      </c>
      <c r="M6">
        <f t="shared" si="2"/>
        <v>24</v>
      </c>
    </row>
    <row r="7" spans="1:13" x14ac:dyDescent="0.35">
      <c r="A7">
        <v>6</v>
      </c>
      <c r="B7">
        <v>13</v>
      </c>
      <c r="C7">
        <v>27</v>
      </c>
      <c r="D7">
        <v>0.43</v>
      </c>
      <c r="E7">
        <v>1</v>
      </c>
      <c r="F7">
        <v>34</v>
      </c>
      <c r="G7">
        <v>1</v>
      </c>
      <c r="I7">
        <f t="shared" si="0"/>
        <v>14</v>
      </c>
      <c r="J7">
        <v>1</v>
      </c>
      <c r="L7">
        <f t="shared" si="1"/>
        <v>32</v>
      </c>
      <c r="M7">
        <f t="shared" si="2"/>
        <v>23</v>
      </c>
    </row>
    <row r="8" spans="1:13" x14ac:dyDescent="0.35">
      <c r="A8">
        <v>7</v>
      </c>
      <c r="B8">
        <v>14</v>
      </c>
      <c r="C8">
        <v>28</v>
      </c>
      <c r="D8">
        <v>0.42899999999999999</v>
      </c>
      <c r="E8">
        <v>1</v>
      </c>
      <c r="F8">
        <v>34</v>
      </c>
      <c r="G8">
        <v>1</v>
      </c>
      <c r="I8">
        <f t="shared" si="0"/>
        <v>14</v>
      </c>
      <c r="J8">
        <v>1</v>
      </c>
      <c r="L8">
        <f t="shared" si="1"/>
        <v>33</v>
      </c>
      <c r="M8">
        <f t="shared" si="2"/>
        <v>24</v>
      </c>
    </row>
    <row r="9" spans="1:13" x14ac:dyDescent="0.35">
      <c r="A9">
        <v>8</v>
      </c>
      <c r="B9">
        <v>32</v>
      </c>
      <c r="C9">
        <v>45</v>
      </c>
      <c r="D9">
        <v>0.46700000000000003</v>
      </c>
      <c r="E9">
        <v>1</v>
      </c>
      <c r="F9">
        <v>75</v>
      </c>
      <c r="G9">
        <v>1</v>
      </c>
      <c r="I9">
        <f t="shared" si="0"/>
        <v>13</v>
      </c>
      <c r="J9">
        <v>1</v>
      </c>
      <c r="L9">
        <f t="shared" si="1"/>
        <v>50</v>
      </c>
      <c r="M9">
        <f t="shared" si="2"/>
        <v>41</v>
      </c>
    </row>
    <row r="10" spans="1:13" x14ac:dyDescent="0.35">
      <c r="A10">
        <v>9</v>
      </c>
      <c r="B10">
        <v>33</v>
      </c>
      <c r="C10">
        <v>47</v>
      </c>
      <c r="D10">
        <v>0.108</v>
      </c>
      <c r="E10">
        <v>1</v>
      </c>
      <c r="F10">
        <v>42</v>
      </c>
      <c r="G10">
        <v>1</v>
      </c>
      <c r="I10">
        <f t="shared" si="0"/>
        <v>14</v>
      </c>
      <c r="J10">
        <v>1</v>
      </c>
      <c r="L10">
        <f t="shared" si="1"/>
        <v>52</v>
      </c>
      <c r="M10">
        <f t="shared" si="2"/>
        <v>43</v>
      </c>
    </row>
    <row r="11" spans="1:13" x14ac:dyDescent="0.35">
      <c r="A11">
        <v>10</v>
      </c>
      <c r="B11">
        <v>31</v>
      </c>
      <c r="C11">
        <v>45</v>
      </c>
      <c r="D11">
        <v>0.34</v>
      </c>
      <c r="E11">
        <v>1</v>
      </c>
      <c r="F11">
        <v>52</v>
      </c>
      <c r="G11">
        <v>1</v>
      </c>
      <c r="I11">
        <f t="shared" si="0"/>
        <v>14</v>
      </c>
      <c r="J11">
        <v>1</v>
      </c>
      <c r="L11">
        <f t="shared" si="1"/>
        <v>50</v>
      </c>
      <c r="M11">
        <f t="shared" si="2"/>
        <v>41</v>
      </c>
    </row>
    <row r="12" spans="1:13" x14ac:dyDescent="0.35">
      <c r="A12">
        <v>11</v>
      </c>
      <c r="B12">
        <v>27</v>
      </c>
      <c r="C12">
        <v>41</v>
      </c>
      <c r="D12">
        <v>0.34599999999999997</v>
      </c>
      <c r="E12">
        <v>0.996</v>
      </c>
      <c r="F12">
        <v>34.136546184738947</v>
      </c>
      <c r="G12">
        <v>1</v>
      </c>
      <c r="I12">
        <f t="shared" si="0"/>
        <v>14</v>
      </c>
      <c r="J12">
        <v>1</v>
      </c>
      <c r="L12">
        <f t="shared" si="1"/>
        <v>46</v>
      </c>
      <c r="M12">
        <f t="shared" si="2"/>
        <v>37</v>
      </c>
    </row>
    <row r="13" spans="1:13" x14ac:dyDescent="0.35">
      <c r="A13">
        <v>12</v>
      </c>
      <c r="B13">
        <v>17</v>
      </c>
      <c r="C13">
        <v>30</v>
      </c>
      <c r="D13">
        <v>0.67200000000000004</v>
      </c>
      <c r="E13">
        <v>1</v>
      </c>
      <c r="F13">
        <v>60</v>
      </c>
      <c r="G13">
        <v>1</v>
      </c>
      <c r="I13">
        <f t="shared" si="0"/>
        <v>13</v>
      </c>
      <c r="J13">
        <v>1</v>
      </c>
      <c r="L13">
        <f t="shared" si="1"/>
        <v>35</v>
      </c>
      <c r="M13">
        <f t="shared" si="2"/>
        <v>26</v>
      </c>
    </row>
    <row r="14" spans="1:13" x14ac:dyDescent="0.35">
      <c r="A14">
        <v>13</v>
      </c>
      <c r="B14">
        <v>14</v>
      </c>
      <c r="C14">
        <v>28</v>
      </c>
      <c r="D14">
        <v>0.40400000000000003</v>
      </c>
      <c r="E14">
        <v>1</v>
      </c>
      <c r="F14">
        <v>60</v>
      </c>
      <c r="G14">
        <v>1</v>
      </c>
      <c r="I14">
        <f t="shared" si="0"/>
        <v>14</v>
      </c>
      <c r="J14">
        <v>1</v>
      </c>
      <c r="L14">
        <f t="shared" si="1"/>
        <v>33</v>
      </c>
      <c r="M14">
        <f t="shared" si="2"/>
        <v>24</v>
      </c>
    </row>
    <row r="15" spans="1:13" x14ac:dyDescent="0.35">
      <c r="A15">
        <v>14</v>
      </c>
      <c r="B15">
        <v>15</v>
      </c>
      <c r="C15">
        <v>28</v>
      </c>
      <c r="D15">
        <v>0.50600000000000001</v>
      </c>
      <c r="E15">
        <v>1</v>
      </c>
      <c r="F15">
        <v>42</v>
      </c>
      <c r="G15">
        <v>1</v>
      </c>
      <c r="I15">
        <f t="shared" si="0"/>
        <v>13</v>
      </c>
      <c r="J15">
        <v>1</v>
      </c>
      <c r="L15">
        <f t="shared" si="1"/>
        <v>33</v>
      </c>
      <c r="M15">
        <f t="shared" si="2"/>
        <v>24</v>
      </c>
    </row>
    <row r="16" spans="1:13" x14ac:dyDescent="0.35">
      <c r="A16">
        <v>15</v>
      </c>
      <c r="B16">
        <v>17</v>
      </c>
      <c r="C16">
        <v>31</v>
      </c>
      <c r="D16">
        <v>0.503</v>
      </c>
      <c r="E16">
        <v>1</v>
      </c>
      <c r="F16">
        <v>42</v>
      </c>
      <c r="G16">
        <v>1</v>
      </c>
      <c r="I16">
        <f t="shared" si="0"/>
        <v>14</v>
      </c>
      <c r="J16">
        <v>1</v>
      </c>
      <c r="L16">
        <f t="shared" si="1"/>
        <v>36</v>
      </c>
      <c r="M16">
        <f t="shared" si="2"/>
        <v>27</v>
      </c>
    </row>
    <row r="17" spans="1:13" x14ac:dyDescent="0.35">
      <c r="A17">
        <v>16</v>
      </c>
      <c r="B17">
        <v>12</v>
      </c>
      <c r="C17">
        <v>26</v>
      </c>
      <c r="D17">
        <v>0.61899999999999999</v>
      </c>
      <c r="E17">
        <v>1</v>
      </c>
      <c r="F17">
        <v>52</v>
      </c>
      <c r="G17">
        <v>1</v>
      </c>
      <c r="I17">
        <f t="shared" si="0"/>
        <v>14</v>
      </c>
      <c r="J17">
        <v>1</v>
      </c>
      <c r="L17">
        <f t="shared" si="1"/>
        <v>31</v>
      </c>
      <c r="M17">
        <f t="shared" si="2"/>
        <v>22</v>
      </c>
    </row>
    <row r="18" spans="1:13" x14ac:dyDescent="0.35">
      <c r="A18">
        <v>17</v>
      </c>
      <c r="B18">
        <v>36</v>
      </c>
      <c r="C18">
        <v>47</v>
      </c>
      <c r="D18">
        <v>0.38400000000000001</v>
      </c>
      <c r="E18">
        <v>1</v>
      </c>
      <c r="F18">
        <v>60</v>
      </c>
      <c r="G18">
        <v>1</v>
      </c>
      <c r="I18">
        <f t="shared" si="0"/>
        <v>11</v>
      </c>
      <c r="J18">
        <v>1</v>
      </c>
      <c r="L18">
        <v>48</v>
      </c>
      <c r="M18">
        <f t="shared" si="2"/>
        <v>39</v>
      </c>
    </row>
    <row r="19" spans="1:13" x14ac:dyDescent="0.35">
      <c r="A19">
        <v>18</v>
      </c>
      <c r="B19">
        <v>13</v>
      </c>
      <c r="C19">
        <v>27</v>
      </c>
      <c r="D19">
        <v>0.38600000000000001</v>
      </c>
      <c r="E19">
        <v>1</v>
      </c>
      <c r="F19">
        <v>34</v>
      </c>
      <c r="G19">
        <v>1</v>
      </c>
      <c r="I19">
        <f t="shared" si="0"/>
        <v>14</v>
      </c>
      <c r="J19">
        <v>1</v>
      </c>
      <c r="L19">
        <f t="shared" si="1"/>
        <v>32</v>
      </c>
      <c r="M19">
        <f t="shared" si="2"/>
        <v>23</v>
      </c>
    </row>
    <row r="20" spans="1:13" x14ac:dyDescent="0.35">
      <c r="A20">
        <v>19</v>
      </c>
      <c r="B20">
        <v>27</v>
      </c>
      <c r="C20">
        <v>40</v>
      </c>
      <c r="D20">
        <v>0.375</v>
      </c>
      <c r="E20">
        <v>1</v>
      </c>
      <c r="F20">
        <v>34</v>
      </c>
      <c r="G20">
        <v>1</v>
      </c>
      <c r="I20">
        <f t="shared" si="0"/>
        <v>13</v>
      </c>
      <c r="J20">
        <v>1</v>
      </c>
      <c r="L20">
        <f t="shared" si="1"/>
        <v>45</v>
      </c>
      <c r="M20">
        <f t="shared" si="2"/>
        <v>36</v>
      </c>
    </row>
    <row r="21" spans="1:13" x14ac:dyDescent="0.35">
      <c r="A21">
        <v>20</v>
      </c>
      <c r="B21">
        <v>26</v>
      </c>
      <c r="C21">
        <v>40</v>
      </c>
      <c r="D21">
        <v>0.6</v>
      </c>
      <c r="E21">
        <v>1</v>
      </c>
      <c r="F21">
        <v>52</v>
      </c>
      <c r="G21">
        <v>1</v>
      </c>
      <c r="I21">
        <f t="shared" si="0"/>
        <v>14</v>
      </c>
      <c r="J21">
        <v>1</v>
      </c>
      <c r="L21">
        <f t="shared" si="1"/>
        <v>45</v>
      </c>
      <c r="M21">
        <f t="shared" si="2"/>
        <v>36</v>
      </c>
    </row>
    <row r="22" spans="1:13" x14ac:dyDescent="0.35">
      <c r="A22">
        <v>21</v>
      </c>
      <c r="B22">
        <v>16</v>
      </c>
      <c r="C22">
        <v>30</v>
      </c>
      <c r="D22">
        <v>0.47599999999999998</v>
      </c>
      <c r="E22">
        <v>1</v>
      </c>
      <c r="F22">
        <v>42</v>
      </c>
      <c r="G22">
        <v>1</v>
      </c>
      <c r="I22">
        <f t="shared" si="0"/>
        <v>14</v>
      </c>
      <c r="J22">
        <v>1</v>
      </c>
      <c r="L22">
        <f t="shared" si="1"/>
        <v>35</v>
      </c>
      <c r="M22">
        <f t="shared" si="2"/>
        <v>26</v>
      </c>
    </row>
    <row r="23" spans="1:13" x14ac:dyDescent="0.35">
      <c r="A23">
        <v>22</v>
      </c>
      <c r="B23">
        <v>16</v>
      </c>
      <c r="C23">
        <v>30</v>
      </c>
      <c r="D23">
        <v>0.47599999999999998</v>
      </c>
      <c r="E23">
        <v>1</v>
      </c>
      <c r="F23">
        <v>42</v>
      </c>
      <c r="G23">
        <v>1</v>
      </c>
      <c r="I23">
        <f t="shared" si="0"/>
        <v>14</v>
      </c>
      <c r="J23">
        <v>1</v>
      </c>
      <c r="L23">
        <f t="shared" si="1"/>
        <v>35</v>
      </c>
      <c r="M23">
        <f t="shared" si="2"/>
        <v>26</v>
      </c>
    </row>
    <row r="24" spans="1:13" x14ac:dyDescent="0.35">
      <c r="A24">
        <v>23</v>
      </c>
      <c r="B24">
        <v>24</v>
      </c>
      <c r="C24">
        <v>38</v>
      </c>
      <c r="D24">
        <v>0.32400000000000001</v>
      </c>
      <c r="E24">
        <v>0.84699999999999998</v>
      </c>
      <c r="F24">
        <v>51.948051948051948</v>
      </c>
      <c r="G24">
        <v>1</v>
      </c>
      <c r="I24">
        <f t="shared" si="0"/>
        <v>14</v>
      </c>
      <c r="J24">
        <v>1</v>
      </c>
      <c r="L24">
        <f t="shared" si="1"/>
        <v>43</v>
      </c>
      <c r="M24">
        <f t="shared" si="2"/>
        <v>34</v>
      </c>
    </row>
    <row r="25" spans="1:13" x14ac:dyDescent="0.35">
      <c r="A25">
        <v>24</v>
      </c>
      <c r="B25">
        <v>20</v>
      </c>
      <c r="C25">
        <v>34</v>
      </c>
      <c r="D25">
        <v>0.35599999999999998</v>
      </c>
      <c r="E25">
        <v>1</v>
      </c>
      <c r="F25">
        <v>34</v>
      </c>
      <c r="G25">
        <v>1</v>
      </c>
      <c r="I25">
        <f t="shared" si="0"/>
        <v>14</v>
      </c>
      <c r="J25">
        <v>1</v>
      </c>
      <c r="L25">
        <f t="shared" si="1"/>
        <v>39</v>
      </c>
      <c r="M25">
        <f t="shared" si="2"/>
        <v>30</v>
      </c>
    </row>
    <row r="26" spans="1:13" x14ac:dyDescent="0.35">
      <c r="A26">
        <v>25</v>
      </c>
      <c r="B26">
        <v>4</v>
      </c>
      <c r="C26">
        <v>18</v>
      </c>
      <c r="D26">
        <v>0</v>
      </c>
      <c r="E26">
        <v>1</v>
      </c>
      <c r="F26">
        <v>42</v>
      </c>
      <c r="G26">
        <v>1</v>
      </c>
      <c r="I26">
        <f t="shared" si="0"/>
        <v>14</v>
      </c>
      <c r="J26">
        <v>1</v>
      </c>
      <c r="L26">
        <f t="shared" si="1"/>
        <v>23</v>
      </c>
      <c r="M26">
        <f t="shared" si="2"/>
        <v>14</v>
      </c>
    </row>
    <row r="27" spans="1:13" x14ac:dyDescent="0.35">
      <c r="A27">
        <v>26</v>
      </c>
      <c r="B27">
        <v>14</v>
      </c>
      <c r="C27">
        <v>28</v>
      </c>
      <c r="D27">
        <v>0.63500000000000001</v>
      </c>
      <c r="E27">
        <v>1</v>
      </c>
      <c r="F27">
        <v>60</v>
      </c>
      <c r="G27">
        <v>1</v>
      </c>
      <c r="I27">
        <f t="shared" si="0"/>
        <v>14</v>
      </c>
      <c r="J27">
        <v>1</v>
      </c>
      <c r="L27">
        <f t="shared" si="1"/>
        <v>33</v>
      </c>
      <c r="M27">
        <f t="shared" si="2"/>
        <v>24</v>
      </c>
    </row>
    <row r="28" spans="1:13" x14ac:dyDescent="0.35">
      <c r="A28">
        <v>27</v>
      </c>
      <c r="B28">
        <v>14</v>
      </c>
      <c r="C28">
        <v>28</v>
      </c>
      <c r="D28">
        <v>0.46</v>
      </c>
      <c r="E28">
        <v>1</v>
      </c>
      <c r="F28">
        <v>42</v>
      </c>
      <c r="G28">
        <v>1</v>
      </c>
      <c r="I28">
        <f t="shared" si="0"/>
        <v>14</v>
      </c>
      <c r="J28">
        <v>1</v>
      </c>
      <c r="L28">
        <f t="shared" si="1"/>
        <v>33</v>
      </c>
      <c r="M28">
        <f t="shared" si="2"/>
        <v>24</v>
      </c>
    </row>
    <row r="29" spans="1:13" x14ac:dyDescent="0.35">
      <c r="A29">
        <v>28</v>
      </c>
      <c r="B29">
        <v>13</v>
      </c>
      <c r="C29">
        <v>27</v>
      </c>
      <c r="D29">
        <v>0.45400000000000001</v>
      </c>
      <c r="E29">
        <v>1</v>
      </c>
      <c r="F29">
        <v>42</v>
      </c>
      <c r="G29">
        <v>1</v>
      </c>
      <c r="I29">
        <f t="shared" si="0"/>
        <v>14</v>
      </c>
      <c r="J29">
        <v>1</v>
      </c>
      <c r="L29">
        <f t="shared" si="1"/>
        <v>32</v>
      </c>
      <c r="M29">
        <f t="shared" si="2"/>
        <v>23</v>
      </c>
    </row>
    <row r="30" spans="1:13" x14ac:dyDescent="0.35">
      <c r="A30">
        <v>29</v>
      </c>
      <c r="B30">
        <v>18</v>
      </c>
      <c r="C30">
        <v>32</v>
      </c>
      <c r="D30">
        <v>0.45400000000000001</v>
      </c>
      <c r="E30">
        <v>1</v>
      </c>
      <c r="F30">
        <v>42</v>
      </c>
      <c r="G30">
        <v>1</v>
      </c>
      <c r="I30">
        <f t="shared" si="0"/>
        <v>14</v>
      </c>
      <c r="J30">
        <v>1</v>
      </c>
      <c r="L30">
        <f t="shared" si="1"/>
        <v>37</v>
      </c>
      <c r="M30">
        <f t="shared" si="2"/>
        <v>28</v>
      </c>
    </row>
    <row r="31" spans="1:13" x14ac:dyDescent="0.35">
      <c r="A31">
        <v>30</v>
      </c>
      <c r="B31">
        <v>15</v>
      </c>
      <c r="C31">
        <v>29</v>
      </c>
      <c r="D31">
        <v>0.56699999999999995</v>
      </c>
      <c r="E31">
        <v>1</v>
      </c>
      <c r="F31">
        <v>52</v>
      </c>
      <c r="G31">
        <v>1</v>
      </c>
      <c r="I31">
        <f t="shared" si="0"/>
        <v>14</v>
      </c>
      <c r="J31">
        <v>1</v>
      </c>
      <c r="L31">
        <f t="shared" si="1"/>
        <v>34</v>
      </c>
      <c r="M31">
        <f t="shared" si="2"/>
        <v>25</v>
      </c>
    </row>
    <row r="32" spans="1:13" x14ac:dyDescent="0.35">
      <c r="A32">
        <v>31</v>
      </c>
      <c r="B32">
        <v>15</v>
      </c>
      <c r="C32">
        <v>29</v>
      </c>
      <c r="D32">
        <v>0.436</v>
      </c>
      <c r="E32">
        <v>1</v>
      </c>
      <c r="F32">
        <v>42</v>
      </c>
      <c r="G32">
        <v>1</v>
      </c>
      <c r="I32">
        <f t="shared" si="0"/>
        <v>14</v>
      </c>
      <c r="J32">
        <v>1</v>
      </c>
      <c r="L32">
        <f t="shared" si="1"/>
        <v>34</v>
      </c>
      <c r="M32">
        <f t="shared" si="2"/>
        <v>25</v>
      </c>
    </row>
    <row r="33" spans="1:13" x14ac:dyDescent="0.35">
      <c r="A33">
        <v>32</v>
      </c>
      <c r="B33">
        <v>33</v>
      </c>
      <c r="C33">
        <v>47</v>
      </c>
      <c r="D33">
        <v>0.27700000000000002</v>
      </c>
      <c r="E33">
        <v>0.83299999999999996</v>
      </c>
      <c r="F33">
        <v>51.620648259303721</v>
      </c>
      <c r="G33">
        <v>1</v>
      </c>
      <c r="I33">
        <f t="shared" si="0"/>
        <v>14</v>
      </c>
      <c r="J33">
        <v>1</v>
      </c>
      <c r="L33">
        <f t="shared" si="1"/>
        <v>52</v>
      </c>
      <c r="M33">
        <f t="shared" si="2"/>
        <v>43</v>
      </c>
    </row>
    <row r="34" spans="1:13" x14ac:dyDescent="0.35">
      <c r="A34">
        <v>33</v>
      </c>
      <c r="B34">
        <v>24</v>
      </c>
      <c r="C34">
        <v>39</v>
      </c>
      <c r="D34">
        <v>0.311</v>
      </c>
      <c r="E34">
        <v>1</v>
      </c>
      <c r="F34">
        <v>34</v>
      </c>
      <c r="G34">
        <v>1</v>
      </c>
      <c r="I34">
        <f t="shared" si="0"/>
        <v>15</v>
      </c>
      <c r="J34">
        <v>1</v>
      </c>
      <c r="L34">
        <f t="shared" si="1"/>
        <v>44</v>
      </c>
      <c r="M34">
        <f t="shared" si="2"/>
        <v>35</v>
      </c>
    </row>
    <row r="35" spans="1:13" x14ac:dyDescent="0.35">
      <c r="A35">
        <v>34</v>
      </c>
      <c r="B35">
        <v>22</v>
      </c>
      <c r="C35">
        <v>37</v>
      </c>
      <c r="D35">
        <v>0.30099999999999999</v>
      </c>
      <c r="E35">
        <v>1</v>
      </c>
      <c r="F35">
        <v>34</v>
      </c>
      <c r="G35">
        <v>1</v>
      </c>
      <c r="I35">
        <f t="shared" si="0"/>
        <v>15</v>
      </c>
      <c r="J35">
        <v>1</v>
      </c>
      <c r="L35">
        <f t="shared" si="1"/>
        <v>42</v>
      </c>
      <c r="M35">
        <f t="shared" si="2"/>
        <v>33</v>
      </c>
    </row>
    <row r="36" spans="1:13" x14ac:dyDescent="0.35">
      <c r="A36">
        <v>35</v>
      </c>
      <c r="B36">
        <v>15</v>
      </c>
      <c r="C36">
        <v>29</v>
      </c>
      <c r="D36">
        <v>0.55300000000000005</v>
      </c>
      <c r="E36">
        <v>1</v>
      </c>
      <c r="F36">
        <v>52</v>
      </c>
      <c r="G36">
        <v>1</v>
      </c>
      <c r="I36">
        <f t="shared" si="0"/>
        <v>14</v>
      </c>
      <c r="J36">
        <v>1</v>
      </c>
      <c r="L36">
        <f t="shared" si="1"/>
        <v>34</v>
      </c>
      <c r="M36">
        <f t="shared" si="2"/>
        <v>25</v>
      </c>
    </row>
    <row r="37" spans="1:13" x14ac:dyDescent="0.35">
      <c r="A37">
        <v>36</v>
      </c>
      <c r="B37">
        <v>15</v>
      </c>
      <c r="C37">
        <v>30</v>
      </c>
      <c r="D37">
        <v>0.65800000000000003</v>
      </c>
      <c r="E37">
        <v>1</v>
      </c>
      <c r="F37">
        <v>75</v>
      </c>
      <c r="G37">
        <v>1</v>
      </c>
      <c r="I37">
        <f t="shared" si="0"/>
        <v>15</v>
      </c>
      <c r="J37">
        <v>1</v>
      </c>
      <c r="L37">
        <f t="shared" si="1"/>
        <v>35</v>
      </c>
      <c r="M37">
        <f t="shared" si="2"/>
        <v>26</v>
      </c>
    </row>
    <row r="38" spans="1:13" x14ac:dyDescent="0.35">
      <c r="A38">
        <v>37</v>
      </c>
      <c r="B38">
        <v>15</v>
      </c>
      <c r="C38">
        <v>30</v>
      </c>
      <c r="D38">
        <v>0.41599999999999998</v>
      </c>
      <c r="E38">
        <v>1</v>
      </c>
      <c r="F38">
        <v>42</v>
      </c>
      <c r="G38">
        <v>1</v>
      </c>
      <c r="I38">
        <f t="shared" si="0"/>
        <v>15</v>
      </c>
      <c r="J38">
        <v>1</v>
      </c>
      <c r="L38">
        <f t="shared" si="1"/>
        <v>35</v>
      </c>
      <c r="M38">
        <f t="shared" si="2"/>
        <v>26</v>
      </c>
    </row>
    <row r="39" spans="1:13" x14ac:dyDescent="0.35">
      <c r="A39">
        <v>38</v>
      </c>
      <c r="B39">
        <v>16</v>
      </c>
      <c r="C39">
        <v>30</v>
      </c>
      <c r="D39">
        <v>0.159</v>
      </c>
      <c r="E39">
        <v>1</v>
      </c>
      <c r="F39">
        <v>52</v>
      </c>
      <c r="G39">
        <v>1</v>
      </c>
      <c r="I39">
        <f t="shared" si="0"/>
        <v>14</v>
      </c>
      <c r="J39">
        <v>1</v>
      </c>
      <c r="L39">
        <f t="shared" si="1"/>
        <v>35</v>
      </c>
      <c r="M39">
        <f t="shared" si="2"/>
        <v>26</v>
      </c>
    </row>
    <row r="40" spans="1:13" x14ac:dyDescent="0.35">
      <c r="A40">
        <v>39</v>
      </c>
      <c r="B40">
        <v>13</v>
      </c>
      <c r="C40">
        <v>28</v>
      </c>
      <c r="D40">
        <v>0.27600000000000002</v>
      </c>
      <c r="E40">
        <v>1</v>
      </c>
      <c r="F40">
        <v>34</v>
      </c>
      <c r="G40">
        <v>1</v>
      </c>
      <c r="I40">
        <f t="shared" si="0"/>
        <v>15</v>
      </c>
      <c r="J40">
        <v>1</v>
      </c>
      <c r="L40">
        <f t="shared" si="1"/>
        <v>33</v>
      </c>
      <c r="M40">
        <f t="shared" si="2"/>
        <v>24</v>
      </c>
    </row>
    <row r="41" spans="1:13" x14ac:dyDescent="0.35">
      <c r="A41">
        <v>40</v>
      </c>
      <c r="B41">
        <v>17</v>
      </c>
      <c r="C41">
        <v>31</v>
      </c>
      <c r="D41">
        <v>0.27400000000000002</v>
      </c>
      <c r="E41">
        <v>1</v>
      </c>
      <c r="F41">
        <v>34</v>
      </c>
      <c r="G41">
        <v>1</v>
      </c>
      <c r="I41">
        <f t="shared" si="0"/>
        <v>14</v>
      </c>
      <c r="J41">
        <v>2</v>
      </c>
      <c r="L41">
        <f t="shared" si="1"/>
        <v>36</v>
      </c>
      <c r="M41">
        <f t="shared" si="2"/>
        <v>27</v>
      </c>
    </row>
    <row r="42" spans="1:13" x14ac:dyDescent="0.35">
      <c r="A42">
        <v>41</v>
      </c>
      <c r="B42">
        <v>18</v>
      </c>
      <c r="C42">
        <v>32</v>
      </c>
      <c r="D42">
        <v>0.39600000000000002</v>
      </c>
      <c r="E42">
        <v>1</v>
      </c>
      <c r="F42">
        <v>42</v>
      </c>
      <c r="G42">
        <v>1</v>
      </c>
      <c r="I42">
        <f t="shared" si="0"/>
        <v>14</v>
      </c>
      <c r="J42">
        <v>2</v>
      </c>
      <c r="L42">
        <f t="shared" si="1"/>
        <v>37</v>
      </c>
      <c r="M42">
        <f t="shared" si="2"/>
        <v>28</v>
      </c>
    </row>
    <row r="43" spans="1:13" x14ac:dyDescent="0.35">
      <c r="A43">
        <v>42</v>
      </c>
      <c r="B43">
        <v>22</v>
      </c>
      <c r="C43">
        <v>36</v>
      </c>
      <c r="D43">
        <v>0.32900000000000001</v>
      </c>
      <c r="E43">
        <v>1</v>
      </c>
      <c r="F43">
        <v>75</v>
      </c>
      <c r="G43">
        <v>1</v>
      </c>
      <c r="I43">
        <f t="shared" si="0"/>
        <v>14</v>
      </c>
      <c r="J43">
        <v>2</v>
      </c>
      <c r="L43">
        <f t="shared" si="1"/>
        <v>41</v>
      </c>
      <c r="M43">
        <f t="shared" si="2"/>
        <v>32</v>
      </c>
    </row>
    <row r="44" spans="1:13" x14ac:dyDescent="0.35">
      <c r="A44">
        <v>43</v>
      </c>
      <c r="B44">
        <v>21</v>
      </c>
      <c r="C44">
        <v>35</v>
      </c>
      <c r="D44">
        <v>0.53100000000000003</v>
      </c>
      <c r="E44">
        <v>1</v>
      </c>
      <c r="F44">
        <v>52</v>
      </c>
      <c r="G44">
        <v>1</v>
      </c>
      <c r="I44">
        <f t="shared" si="0"/>
        <v>14</v>
      </c>
      <c r="J44">
        <v>2</v>
      </c>
      <c r="L44">
        <f t="shared" si="1"/>
        <v>40</v>
      </c>
      <c r="M44">
        <f t="shared" si="2"/>
        <v>31</v>
      </c>
    </row>
    <row r="45" spans="1:13" x14ac:dyDescent="0.35">
      <c r="A45">
        <v>44</v>
      </c>
      <c r="B45">
        <v>15</v>
      </c>
      <c r="C45">
        <v>30</v>
      </c>
      <c r="D45">
        <v>0.52600000000000002</v>
      </c>
      <c r="E45">
        <v>1</v>
      </c>
      <c r="F45">
        <v>52</v>
      </c>
      <c r="G45">
        <v>1</v>
      </c>
      <c r="I45">
        <f t="shared" si="0"/>
        <v>15</v>
      </c>
      <c r="J45">
        <v>2</v>
      </c>
      <c r="L45">
        <f t="shared" si="1"/>
        <v>35</v>
      </c>
      <c r="M45">
        <f t="shared" si="2"/>
        <v>26</v>
      </c>
    </row>
    <row r="46" spans="1:13" x14ac:dyDescent="0.35">
      <c r="A46">
        <v>45</v>
      </c>
      <c r="B46">
        <v>42</v>
      </c>
      <c r="C46">
        <v>48</v>
      </c>
      <c r="D46">
        <v>0.308</v>
      </c>
      <c r="E46">
        <v>1</v>
      </c>
      <c r="F46">
        <v>75</v>
      </c>
      <c r="G46">
        <v>1</v>
      </c>
      <c r="I46">
        <f t="shared" si="0"/>
        <v>6</v>
      </c>
      <c r="J46">
        <v>2</v>
      </c>
      <c r="L46">
        <f t="shared" si="1"/>
        <v>53</v>
      </c>
      <c r="M46">
        <f t="shared" si="2"/>
        <v>44</v>
      </c>
    </row>
    <row r="47" spans="1:13" x14ac:dyDescent="0.35">
      <c r="A47">
        <v>46</v>
      </c>
      <c r="B47">
        <v>17</v>
      </c>
      <c r="C47">
        <v>31</v>
      </c>
      <c r="D47">
        <v>0.57499999999999996</v>
      </c>
      <c r="E47">
        <v>1</v>
      </c>
      <c r="F47">
        <v>60</v>
      </c>
      <c r="G47">
        <v>1</v>
      </c>
      <c r="I47">
        <f t="shared" si="0"/>
        <v>14</v>
      </c>
      <c r="J47">
        <v>2</v>
      </c>
      <c r="L47">
        <f t="shared" si="1"/>
        <v>36</v>
      </c>
      <c r="M47">
        <f t="shared" si="2"/>
        <v>27</v>
      </c>
    </row>
    <row r="48" spans="1:13" x14ac:dyDescent="0.35">
      <c r="A48">
        <v>47</v>
      </c>
      <c r="B48">
        <v>18</v>
      </c>
      <c r="C48">
        <v>32</v>
      </c>
      <c r="D48">
        <v>0.23599999999999999</v>
      </c>
      <c r="E48">
        <v>1</v>
      </c>
      <c r="F48">
        <v>34</v>
      </c>
      <c r="G48">
        <v>1</v>
      </c>
      <c r="I48">
        <f t="shared" si="0"/>
        <v>14</v>
      </c>
      <c r="J48">
        <v>2</v>
      </c>
      <c r="L48">
        <f t="shared" si="1"/>
        <v>37</v>
      </c>
      <c r="M48">
        <f t="shared" si="2"/>
        <v>28</v>
      </c>
    </row>
    <row r="49" spans="1:13" x14ac:dyDescent="0.35">
      <c r="A49">
        <v>48</v>
      </c>
      <c r="B49">
        <v>18</v>
      </c>
      <c r="C49">
        <v>33</v>
      </c>
      <c r="D49">
        <v>0.22</v>
      </c>
      <c r="E49">
        <v>1</v>
      </c>
      <c r="F49">
        <v>34</v>
      </c>
      <c r="G49">
        <v>1</v>
      </c>
      <c r="I49">
        <f t="shared" si="0"/>
        <v>15</v>
      </c>
      <c r="J49">
        <v>2</v>
      </c>
      <c r="L49">
        <f t="shared" si="1"/>
        <v>38</v>
      </c>
      <c r="M49">
        <f t="shared" si="2"/>
        <v>29</v>
      </c>
    </row>
    <row r="50" spans="1:13" x14ac:dyDescent="0.35">
      <c r="A50">
        <v>49</v>
      </c>
      <c r="B50">
        <v>29</v>
      </c>
      <c r="C50">
        <v>44</v>
      </c>
      <c r="D50">
        <v>0.28499999999999998</v>
      </c>
      <c r="E50">
        <v>0.82199999999999995</v>
      </c>
      <c r="F50">
        <v>59.61070559610706</v>
      </c>
      <c r="G50">
        <v>1</v>
      </c>
      <c r="I50">
        <f t="shared" si="0"/>
        <v>15</v>
      </c>
      <c r="J50">
        <v>2</v>
      </c>
      <c r="L50">
        <f t="shared" si="1"/>
        <v>49</v>
      </c>
      <c r="M50">
        <f t="shared" si="2"/>
        <v>40</v>
      </c>
    </row>
    <row r="51" spans="1:13" x14ac:dyDescent="0.35">
      <c r="A51">
        <v>50</v>
      </c>
      <c r="B51">
        <v>13</v>
      </c>
      <c r="C51">
        <v>28</v>
      </c>
      <c r="D51">
        <v>0.498</v>
      </c>
      <c r="E51">
        <v>1</v>
      </c>
      <c r="F51">
        <v>52</v>
      </c>
      <c r="G51">
        <v>1</v>
      </c>
      <c r="I51">
        <f t="shared" si="0"/>
        <v>15</v>
      </c>
      <c r="J51">
        <v>2</v>
      </c>
      <c r="L51">
        <f t="shared" si="1"/>
        <v>33</v>
      </c>
      <c r="M51">
        <f t="shared" si="2"/>
        <v>24</v>
      </c>
    </row>
    <row r="52" spans="1:13" x14ac:dyDescent="0.35">
      <c r="A52">
        <v>51</v>
      </c>
      <c r="B52">
        <v>15</v>
      </c>
      <c r="C52">
        <v>30</v>
      </c>
      <c r="D52">
        <v>0.496</v>
      </c>
      <c r="E52">
        <v>1</v>
      </c>
      <c r="F52">
        <v>52</v>
      </c>
      <c r="G52">
        <v>1</v>
      </c>
      <c r="I52">
        <f t="shared" si="0"/>
        <v>15</v>
      </c>
      <c r="J52">
        <v>2</v>
      </c>
      <c r="L52">
        <f t="shared" si="1"/>
        <v>35</v>
      </c>
      <c r="M52">
        <f t="shared" si="2"/>
        <v>26</v>
      </c>
    </row>
    <row r="53" spans="1:13" x14ac:dyDescent="0.35">
      <c r="A53">
        <v>52</v>
      </c>
      <c r="B53">
        <v>18</v>
      </c>
      <c r="C53">
        <v>33</v>
      </c>
      <c r="D53">
        <v>0.21</v>
      </c>
      <c r="E53">
        <v>1</v>
      </c>
      <c r="F53">
        <v>34</v>
      </c>
      <c r="G53">
        <v>1</v>
      </c>
      <c r="I53">
        <f t="shared" si="0"/>
        <v>15</v>
      </c>
      <c r="J53">
        <v>2</v>
      </c>
      <c r="L53">
        <f t="shared" si="1"/>
        <v>38</v>
      </c>
      <c r="M53">
        <f t="shared" si="2"/>
        <v>29</v>
      </c>
    </row>
    <row r="54" spans="1:13" x14ac:dyDescent="0.35">
      <c r="A54">
        <v>53</v>
      </c>
      <c r="B54">
        <v>8</v>
      </c>
      <c r="C54">
        <v>23</v>
      </c>
      <c r="D54">
        <v>0.62</v>
      </c>
      <c r="E54">
        <v>1</v>
      </c>
      <c r="F54">
        <v>75</v>
      </c>
      <c r="G54">
        <v>1</v>
      </c>
      <c r="I54">
        <f t="shared" si="0"/>
        <v>15</v>
      </c>
      <c r="J54">
        <v>2</v>
      </c>
      <c r="L54">
        <f t="shared" si="1"/>
        <v>28</v>
      </c>
      <c r="M54">
        <f t="shared" si="2"/>
        <v>19</v>
      </c>
    </row>
    <row r="55" spans="1:13" x14ac:dyDescent="0.35">
      <c r="A55">
        <v>54</v>
      </c>
      <c r="B55">
        <v>18</v>
      </c>
      <c r="C55">
        <v>33</v>
      </c>
      <c r="D55">
        <v>0</v>
      </c>
      <c r="E55">
        <v>0.95299999999999996</v>
      </c>
      <c r="F55">
        <v>33.578174186778597</v>
      </c>
      <c r="G55">
        <v>1</v>
      </c>
      <c r="I55">
        <f t="shared" si="0"/>
        <v>15</v>
      </c>
      <c r="J55">
        <v>2</v>
      </c>
      <c r="L55">
        <f t="shared" si="1"/>
        <v>38</v>
      </c>
      <c r="M55">
        <f t="shared" si="2"/>
        <v>29</v>
      </c>
    </row>
    <row r="56" spans="1:13" x14ac:dyDescent="0.35">
      <c r="A56">
        <v>55</v>
      </c>
      <c r="B56">
        <v>26</v>
      </c>
      <c r="C56">
        <v>41</v>
      </c>
      <c r="D56">
        <v>0.34699999999999998</v>
      </c>
      <c r="E56">
        <v>1</v>
      </c>
      <c r="F56">
        <v>42</v>
      </c>
      <c r="G56">
        <v>1</v>
      </c>
      <c r="I56">
        <f t="shared" si="0"/>
        <v>15</v>
      </c>
      <c r="J56">
        <v>2</v>
      </c>
      <c r="L56">
        <f t="shared" si="1"/>
        <v>46</v>
      </c>
      <c r="M56">
        <f t="shared" si="2"/>
        <v>37</v>
      </c>
    </row>
    <row r="57" spans="1:13" x14ac:dyDescent="0.35">
      <c r="A57">
        <v>56</v>
      </c>
      <c r="B57">
        <v>15</v>
      </c>
      <c r="C57">
        <v>30</v>
      </c>
      <c r="D57">
        <v>0.61699999999999999</v>
      </c>
      <c r="E57">
        <v>1</v>
      </c>
      <c r="F57">
        <v>75</v>
      </c>
      <c r="G57">
        <v>1</v>
      </c>
      <c r="I57">
        <f t="shared" si="0"/>
        <v>15</v>
      </c>
      <c r="J57">
        <v>2</v>
      </c>
      <c r="L57">
        <f t="shared" si="1"/>
        <v>35</v>
      </c>
      <c r="M57">
        <f t="shared" si="2"/>
        <v>26</v>
      </c>
    </row>
    <row r="58" spans="1:13" x14ac:dyDescent="0.35">
      <c r="A58">
        <v>57</v>
      </c>
      <c r="B58">
        <v>16</v>
      </c>
      <c r="C58">
        <v>31</v>
      </c>
      <c r="D58">
        <v>0.191</v>
      </c>
      <c r="E58">
        <v>1</v>
      </c>
      <c r="F58">
        <v>34</v>
      </c>
      <c r="G58">
        <v>1</v>
      </c>
      <c r="I58">
        <f t="shared" si="0"/>
        <v>15</v>
      </c>
      <c r="J58">
        <v>2</v>
      </c>
      <c r="L58">
        <f t="shared" si="1"/>
        <v>36</v>
      </c>
      <c r="M58">
        <f t="shared" si="2"/>
        <v>27</v>
      </c>
    </row>
    <row r="59" spans="1:13" x14ac:dyDescent="0.35">
      <c r="A59">
        <v>58</v>
      </c>
      <c r="B59">
        <v>13</v>
      </c>
      <c r="C59">
        <v>28</v>
      </c>
      <c r="D59">
        <v>0.48199999999999998</v>
      </c>
      <c r="E59">
        <v>1</v>
      </c>
      <c r="F59">
        <v>52</v>
      </c>
      <c r="G59">
        <v>1</v>
      </c>
      <c r="I59">
        <f t="shared" si="0"/>
        <v>15</v>
      </c>
      <c r="J59">
        <v>2</v>
      </c>
      <c r="L59">
        <f t="shared" si="1"/>
        <v>33</v>
      </c>
      <c r="M59">
        <f t="shared" si="2"/>
        <v>24</v>
      </c>
    </row>
    <row r="60" spans="1:13" x14ac:dyDescent="0.35">
      <c r="A60">
        <v>59</v>
      </c>
      <c r="B60">
        <v>24</v>
      </c>
      <c r="C60">
        <v>39</v>
      </c>
      <c r="D60">
        <v>0.17399999999999999</v>
      </c>
      <c r="E60">
        <v>1</v>
      </c>
      <c r="F60">
        <v>34</v>
      </c>
      <c r="G60">
        <v>1</v>
      </c>
      <c r="I60">
        <f t="shared" si="0"/>
        <v>15</v>
      </c>
      <c r="J60">
        <v>2</v>
      </c>
      <c r="L60">
        <f t="shared" si="1"/>
        <v>44</v>
      </c>
      <c r="M60">
        <f t="shared" si="2"/>
        <v>35</v>
      </c>
    </row>
    <row r="61" spans="1:13" x14ac:dyDescent="0.35">
      <c r="A61">
        <v>60</v>
      </c>
      <c r="B61">
        <v>18</v>
      </c>
      <c r="C61">
        <v>33</v>
      </c>
      <c r="D61">
        <v>0.17199999999999999</v>
      </c>
      <c r="E61">
        <v>1</v>
      </c>
      <c r="F61">
        <v>34</v>
      </c>
      <c r="G61">
        <v>1</v>
      </c>
      <c r="I61">
        <f t="shared" si="0"/>
        <v>15</v>
      </c>
      <c r="J61">
        <v>2</v>
      </c>
      <c r="L61">
        <f t="shared" si="1"/>
        <v>38</v>
      </c>
      <c r="M61">
        <f t="shared" si="2"/>
        <v>29</v>
      </c>
    </row>
    <row r="62" spans="1:13" x14ac:dyDescent="0.35">
      <c r="A62">
        <v>61</v>
      </c>
      <c r="B62">
        <v>28</v>
      </c>
      <c r="C62">
        <v>43</v>
      </c>
      <c r="D62">
        <v>0.13500000000000001</v>
      </c>
      <c r="E62">
        <v>1</v>
      </c>
      <c r="F62">
        <v>60</v>
      </c>
      <c r="G62">
        <v>1</v>
      </c>
      <c r="I62">
        <f t="shared" si="0"/>
        <v>15</v>
      </c>
      <c r="J62">
        <v>2</v>
      </c>
      <c r="L62">
        <f t="shared" si="1"/>
        <v>48</v>
      </c>
      <c r="M62">
        <f t="shared" si="2"/>
        <v>39</v>
      </c>
    </row>
    <row r="63" spans="1:13" x14ac:dyDescent="0.35">
      <c r="A63">
        <v>62</v>
      </c>
      <c r="B63">
        <v>20</v>
      </c>
      <c r="C63">
        <v>35</v>
      </c>
      <c r="D63">
        <v>0.53400000000000003</v>
      </c>
      <c r="E63">
        <v>1</v>
      </c>
      <c r="F63">
        <v>60</v>
      </c>
      <c r="G63">
        <v>1</v>
      </c>
      <c r="I63">
        <f t="shared" si="0"/>
        <v>15</v>
      </c>
      <c r="J63">
        <v>2</v>
      </c>
      <c r="L63">
        <f t="shared" si="1"/>
        <v>40</v>
      </c>
      <c r="M63">
        <f t="shared" si="2"/>
        <v>31</v>
      </c>
    </row>
    <row r="64" spans="1:13" x14ac:dyDescent="0.35">
      <c r="A64">
        <v>63</v>
      </c>
      <c r="B64">
        <v>19</v>
      </c>
      <c r="C64">
        <v>34</v>
      </c>
      <c r="D64">
        <v>0.313</v>
      </c>
      <c r="E64">
        <v>1</v>
      </c>
      <c r="F64">
        <v>42</v>
      </c>
      <c r="G64">
        <v>1</v>
      </c>
      <c r="I64">
        <f t="shared" si="0"/>
        <v>15</v>
      </c>
      <c r="J64">
        <v>2</v>
      </c>
      <c r="L64">
        <f t="shared" si="1"/>
        <v>39</v>
      </c>
      <c r="M64">
        <f t="shared" si="2"/>
        <v>30</v>
      </c>
    </row>
    <row r="65" spans="1:13" x14ac:dyDescent="0.35">
      <c r="A65">
        <v>64</v>
      </c>
      <c r="B65">
        <v>26</v>
      </c>
      <c r="C65">
        <v>41</v>
      </c>
      <c r="D65">
        <v>0.46500000000000002</v>
      </c>
      <c r="E65">
        <v>1</v>
      </c>
      <c r="F65">
        <v>52</v>
      </c>
      <c r="G65">
        <v>1</v>
      </c>
      <c r="I65">
        <f t="shared" si="0"/>
        <v>15</v>
      </c>
      <c r="J65">
        <v>2</v>
      </c>
      <c r="L65">
        <f t="shared" si="1"/>
        <v>46</v>
      </c>
      <c r="M65">
        <f t="shared" si="2"/>
        <v>37</v>
      </c>
    </row>
    <row r="66" spans="1:13" x14ac:dyDescent="0.35">
      <c r="A66">
        <v>65</v>
      </c>
      <c r="B66">
        <v>24</v>
      </c>
      <c r="C66">
        <v>39</v>
      </c>
      <c r="D66">
        <v>0.46400000000000002</v>
      </c>
      <c r="E66">
        <v>1</v>
      </c>
      <c r="F66">
        <v>52</v>
      </c>
      <c r="G66">
        <v>1</v>
      </c>
      <c r="I66">
        <f t="shared" si="0"/>
        <v>15</v>
      </c>
      <c r="J66">
        <v>2</v>
      </c>
      <c r="L66">
        <f t="shared" si="1"/>
        <v>44</v>
      </c>
      <c r="M66">
        <f t="shared" si="2"/>
        <v>35</v>
      </c>
    </row>
    <row r="67" spans="1:13" x14ac:dyDescent="0.35">
      <c r="A67">
        <v>66</v>
      </c>
      <c r="B67">
        <v>19</v>
      </c>
      <c r="C67">
        <v>34</v>
      </c>
      <c r="D67">
        <v>0.52600000000000002</v>
      </c>
      <c r="E67">
        <v>1</v>
      </c>
      <c r="F67">
        <v>60</v>
      </c>
      <c r="G67">
        <v>1</v>
      </c>
      <c r="I67">
        <f t="shared" ref="I67:I120" si="3">C67-B67</f>
        <v>15</v>
      </c>
      <c r="J67">
        <v>2</v>
      </c>
      <c r="L67">
        <f t="shared" ref="L67:L120" si="4">C67+5</f>
        <v>39</v>
      </c>
      <c r="M67">
        <f t="shared" ref="M67:M120" si="5">L67-9</f>
        <v>30</v>
      </c>
    </row>
    <row r="68" spans="1:13" x14ac:dyDescent="0.35">
      <c r="A68">
        <v>67</v>
      </c>
      <c r="B68">
        <v>16</v>
      </c>
      <c r="C68">
        <v>31</v>
      </c>
      <c r="D68">
        <v>0.155</v>
      </c>
      <c r="E68">
        <v>1</v>
      </c>
      <c r="F68">
        <v>34</v>
      </c>
      <c r="G68">
        <v>1</v>
      </c>
      <c r="I68">
        <f t="shared" si="3"/>
        <v>15</v>
      </c>
      <c r="J68">
        <v>2</v>
      </c>
      <c r="L68">
        <f t="shared" si="4"/>
        <v>36</v>
      </c>
      <c r="M68">
        <f t="shared" si="5"/>
        <v>27</v>
      </c>
    </row>
    <row r="69" spans="1:13" x14ac:dyDescent="0.35">
      <c r="A69">
        <v>68</v>
      </c>
      <c r="B69">
        <v>14</v>
      </c>
      <c r="C69">
        <v>29</v>
      </c>
      <c r="D69">
        <v>0.30199999999999999</v>
      </c>
      <c r="E69">
        <v>1</v>
      </c>
      <c r="F69">
        <v>42</v>
      </c>
      <c r="G69">
        <v>1</v>
      </c>
      <c r="I69">
        <f t="shared" si="3"/>
        <v>15</v>
      </c>
      <c r="J69">
        <v>2</v>
      </c>
      <c r="L69">
        <f t="shared" si="4"/>
        <v>34</v>
      </c>
      <c r="M69">
        <f t="shared" si="5"/>
        <v>25</v>
      </c>
    </row>
    <row r="70" spans="1:13" x14ac:dyDescent="0.35">
      <c r="A70">
        <v>69</v>
      </c>
      <c r="B70">
        <v>16</v>
      </c>
      <c r="C70">
        <v>31</v>
      </c>
      <c r="D70">
        <v>0.58599999999999997</v>
      </c>
      <c r="E70">
        <v>1</v>
      </c>
      <c r="F70">
        <v>75</v>
      </c>
      <c r="G70">
        <v>1</v>
      </c>
      <c r="I70">
        <f t="shared" si="3"/>
        <v>15</v>
      </c>
      <c r="J70">
        <v>2</v>
      </c>
      <c r="L70">
        <f t="shared" si="4"/>
        <v>36</v>
      </c>
      <c r="M70">
        <f t="shared" si="5"/>
        <v>27</v>
      </c>
    </row>
    <row r="71" spans="1:13" x14ac:dyDescent="0.35">
      <c r="A71">
        <v>70</v>
      </c>
      <c r="B71">
        <v>16</v>
      </c>
      <c r="C71">
        <v>32</v>
      </c>
      <c r="D71">
        <v>0.28399999999999997</v>
      </c>
      <c r="E71">
        <v>1</v>
      </c>
      <c r="F71">
        <v>42</v>
      </c>
      <c r="G71">
        <v>1</v>
      </c>
      <c r="I71">
        <f t="shared" si="3"/>
        <v>16</v>
      </c>
      <c r="J71">
        <v>2</v>
      </c>
      <c r="L71">
        <f t="shared" si="4"/>
        <v>37</v>
      </c>
      <c r="M71">
        <f t="shared" si="5"/>
        <v>28</v>
      </c>
    </row>
    <row r="72" spans="1:13" x14ac:dyDescent="0.35">
      <c r="A72">
        <v>71</v>
      </c>
      <c r="B72">
        <v>13</v>
      </c>
      <c r="C72">
        <v>29</v>
      </c>
      <c r="D72">
        <v>0.51</v>
      </c>
      <c r="E72">
        <v>1</v>
      </c>
      <c r="F72">
        <v>60</v>
      </c>
      <c r="G72">
        <v>1</v>
      </c>
      <c r="I72">
        <f t="shared" si="3"/>
        <v>16</v>
      </c>
      <c r="J72">
        <v>2</v>
      </c>
      <c r="L72">
        <f t="shared" si="4"/>
        <v>34</v>
      </c>
      <c r="M72">
        <f t="shared" si="5"/>
        <v>25</v>
      </c>
    </row>
    <row r="73" spans="1:13" x14ac:dyDescent="0.35">
      <c r="A73">
        <v>72</v>
      </c>
      <c r="B73">
        <v>12</v>
      </c>
      <c r="C73">
        <v>28</v>
      </c>
      <c r="D73">
        <v>0.27800000000000002</v>
      </c>
      <c r="E73">
        <v>1</v>
      </c>
      <c r="F73">
        <v>42</v>
      </c>
      <c r="G73">
        <v>1</v>
      </c>
      <c r="I73">
        <f t="shared" si="3"/>
        <v>16</v>
      </c>
      <c r="J73">
        <v>2</v>
      </c>
      <c r="L73">
        <f t="shared" si="4"/>
        <v>33</v>
      </c>
      <c r="M73">
        <f t="shared" si="5"/>
        <v>24</v>
      </c>
    </row>
    <row r="74" spans="1:13" x14ac:dyDescent="0.35">
      <c r="A74">
        <v>73</v>
      </c>
      <c r="B74">
        <v>21</v>
      </c>
      <c r="C74">
        <v>36</v>
      </c>
      <c r="D74">
        <v>0.57799999999999996</v>
      </c>
      <c r="E74">
        <v>1</v>
      </c>
      <c r="F74">
        <v>75</v>
      </c>
      <c r="G74">
        <v>1</v>
      </c>
      <c r="I74">
        <f t="shared" si="3"/>
        <v>15</v>
      </c>
      <c r="J74">
        <v>2</v>
      </c>
      <c r="L74">
        <f t="shared" si="4"/>
        <v>41</v>
      </c>
      <c r="M74">
        <f t="shared" si="5"/>
        <v>32</v>
      </c>
    </row>
    <row r="75" spans="1:13" x14ac:dyDescent="0.35">
      <c r="A75">
        <v>74</v>
      </c>
      <c r="B75">
        <v>17</v>
      </c>
      <c r="C75">
        <v>33</v>
      </c>
      <c r="D75">
        <v>0.504</v>
      </c>
      <c r="E75">
        <v>1</v>
      </c>
      <c r="F75">
        <v>60</v>
      </c>
      <c r="G75">
        <v>1</v>
      </c>
      <c r="I75">
        <f t="shared" si="3"/>
        <v>16</v>
      </c>
      <c r="J75">
        <v>2</v>
      </c>
      <c r="L75">
        <f t="shared" si="4"/>
        <v>38</v>
      </c>
      <c r="M75">
        <f t="shared" si="5"/>
        <v>29</v>
      </c>
    </row>
    <row r="76" spans="1:13" x14ac:dyDescent="0.35">
      <c r="A76">
        <v>75</v>
      </c>
      <c r="B76">
        <v>14</v>
      </c>
      <c r="C76">
        <v>29</v>
      </c>
      <c r="D76">
        <v>0.27200000000000002</v>
      </c>
      <c r="E76">
        <v>1</v>
      </c>
      <c r="F76">
        <v>42</v>
      </c>
      <c r="G76">
        <v>1</v>
      </c>
      <c r="I76">
        <f t="shared" si="3"/>
        <v>15</v>
      </c>
      <c r="J76">
        <v>2</v>
      </c>
      <c r="L76">
        <f t="shared" si="4"/>
        <v>34</v>
      </c>
      <c r="M76">
        <f t="shared" si="5"/>
        <v>25</v>
      </c>
    </row>
    <row r="77" spans="1:13" x14ac:dyDescent="0.35">
      <c r="A77">
        <v>76</v>
      </c>
      <c r="B77">
        <v>13</v>
      </c>
      <c r="C77">
        <v>29</v>
      </c>
      <c r="D77">
        <v>0.26800000000000002</v>
      </c>
      <c r="E77">
        <v>1</v>
      </c>
      <c r="F77">
        <v>42</v>
      </c>
      <c r="G77">
        <v>1</v>
      </c>
      <c r="I77">
        <f t="shared" si="3"/>
        <v>16</v>
      </c>
      <c r="J77">
        <v>2</v>
      </c>
      <c r="L77">
        <f t="shared" si="4"/>
        <v>34</v>
      </c>
      <c r="M77">
        <f t="shared" si="5"/>
        <v>25</v>
      </c>
    </row>
    <row r="78" spans="1:13" x14ac:dyDescent="0.35">
      <c r="A78">
        <v>77</v>
      </c>
      <c r="B78">
        <v>29</v>
      </c>
      <c r="C78">
        <v>45</v>
      </c>
      <c r="D78">
        <v>0.28599999999999998</v>
      </c>
      <c r="E78">
        <v>0.96899999999999997</v>
      </c>
      <c r="F78">
        <v>51.599587203302377</v>
      </c>
      <c r="G78">
        <v>1</v>
      </c>
      <c r="I78">
        <f t="shared" si="3"/>
        <v>16</v>
      </c>
      <c r="J78">
        <v>2</v>
      </c>
      <c r="L78">
        <f t="shared" si="4"/>
        <v>50</v>
      </c>
      <c r="M78">
        <f t="shared" si="5"/>
        <v>41</v>
      </c>
    </row>
    <row r="79" spans="1:13" x14ac:dyDescent="0.35">
      <c r="A79">
        <v>78</v>
      </c>
      <c r="B79">
        <v>18</v>
      </c>
      <c r="C79">
        <v>34</v>
      </c>
      <c r="D79">
        <v>0.496</v>
      </c>
      <c r="E79">
        <v>1</v>
      </c>
      <c r="F79">
        <v>60</v>
      </c>
      <c r="G79">
        <v>1</v>
      </c>
      <c r="I79">
        <f t="shared" si="3"/>
        <v>16</v>
      </c>
      <c r="J79">
        <v>2</v>
      </c>
      <c r="L79">
        <f t="shared" si="4"/>
        <v>39</v>
      </c>
      <c r="M79">
        <f t="shared" si="5"/>
        <v>30</v>
      </c>
    </row>
    <row r="80" spans="1:13" x14ac:dyDescent="0.35">
      <c r="A80">
        <v>79</v>
      </c>
      <c r="B80">
        <v>15</v>
      </c>
      <c r="C80">
        <v>31</v>
      </c>
      <c r="D80">
        <v>0.41799999999999998</v>
      </c>
      <c r="E80">
        <v>1</v>
      </c>
      <c r="F80">
        <v>52</v>
      </c>
      <c r="G80">
        <v>1</v>
      </c>
      <c r="I80">
        <f t="shared" si="3"/>
        <v>16</v>
      </c>
      <c r="J80">
        <v>2</v>
      </c>
      <c r="L80">
        <f t="shared" si="4"/>
        <v>36</v>
      </c>
      <c r="M80">
        <f t="shared" si="5"/>
        <v>27</v>
      </c>
    </row>
    <row r="81" spans="1:13" x14ac:dyDescent="0.35">
      <c r="A81">
        <v>80</v>
      </c>
      <c r="B81">
        <v>25</v>
      </c>
      <c r="C81">
        <v>41</v>
      </c>
      <c r="D81">
        <v>0.41399999999999998</v>
      </c>
      <c r="E81">
        <v>1</v>
      </c>
      <c r="F81">
        <v>52</v>
      </c>
      <c r="G81">
        <v>1</v>
      </c>
      <c r="I81">
        <f t="shared" si="3"/>
        <v>16</v>
      </c>
      <c r="J81">
        <v>2</v>
      </c>
      <c r="L81">
        <f t="shared" si="4"/>
        <v>46</v>
      </c>
      <c r="M81">
        <f t="shared" si="5"/>
        <v>37</v>
      </c>
    </row>
    <row r="82" spans="1:13" x14ac:dyDescent="0.35">
      <c r="A82">
        <v>81</v>
      </c>
      <c r="B82">
        <v>20</v>
      </c>
      <c r="C82">
        <v>36</v>
      </c>
      <c r="D82">
        <v>0.247</v>
      </c>
      <c r="E82">
        <v>1</v>
      </c>
      <c r="F82">
        <v>42</v>
      </c>
      <c r="G82">
        <v>1</v>
      </c>
      <c r="I82">
        <f t="shared" si="3"/>
        <v>16</v>
      </c>
      <c r="J82">
        <v>2</v>
      </c>
      <c r="L82">
        <f t="shared" si="4"/>
        <v>41</v>
      </c>
      <c r="M82">
        <f t="shared" si="5"/>
        <v>32</v>
      </c>
    </row>
    <row r="83" spans="1:13" x14ac:dyDescent="0.35">
      <c r="A83">
        <v>82</v>
      </c>
      <c r="B83">
        <v>13</v>
      </c>
      <c r="C83">
        <v>29</v>
      </c>
      <c r="D83">
        <v>0.24399999999999999</v>
      </c>
      <c r="E83">
        <v>1</v>
      </c>
      <c r="F83">
        <v>42</v>
      </c>
      <c r="G83">
        <v>1</v>
      </c>
      <c r="I83">
        <f t="shared" si="3"/>
        <v>16</v>
      </c>
      <c r="J83">
        <v>2</v>
      </c>
      <c r="L83">
        <f t="shared" si="4"/>
        <v>34</v>
      </c>
      <c r="M83">
        <f t="shared" si="5"/>
        <v>25</v>
      </c>
    </row>
    <row r="84" spans="1:13" x14ac:dyDescent="0.35">
      <c r="A84">
        <v>83</v>
      </c>
      <c r="B84">
        <v>27</v>
      </c>
      <c r="C84">
        <v>43</v>
      </c>
      <c r="D84">
        <v>0.40899999999999997</v>
      </c>
      <c r="E84">
        <v>1</v>
      </c>
      <c r="F84">
        <v>52</v>
      </c>
      <c r="G84">
        <v>1</v>
      </c>
      <c r="I84">
        <f t="shared" si="3"/>
        <v>16</v>
      </c>
      <c r="J84">
        <v>2</v>
      </c>
      <c r="L84">
        <f t="shared" si="4"/>
        <v>48</v>
      </c>
      <c r="M84">
        <f t="shared" si="5"/>
        <v>39</v>
      </c>
    </row>
    <row r="85" spans="1:13" x14ac:dyDescent="0.35">
      <c r="A85">
        <v>84</v>
      </c>
      <c r="B85">
        <v>16</v>
      </c>
      <c r="C85">
        <v>32</v>
      </c>
      <c r="D85">
        <v>6.8000000000000005E-2</v>
      </c>
      <c r="E85">
        <v>1</v>
      </c>
      <c r="F85">
        <v>34</v>
      </c>
      <c r="G85">
        <v>1</v>
      </c>
      <c r="I85">
        <f t="shared" si="3"/>
        <v>16</v>
      </c>
      <c r="J85">
        <v>2</v>
      </c>
      <c r="L85">
        <f t="shared" si="4"/>
        <v>37</v>
      </c>
      <c r="M85">
        <f t="shared" si="5"/>
        <v>28</v>
      </c>
    </row>
    <row r="86" spans="1:13" x14ac:dyDescent="0.35">
      <c r="A86">
        <v>85</v>
      </c>
      <c r="B86">
        <v>23</v>
      </c>
      <c r="C86">
        <v>39</v>
      </c>
      <c r="D86">
        <v>0.46800000000000003</v>
      </c>
      <c r="E86">
        <v>1</v>
      </c>
      <c r="F86">
        <v>60</v>
      </c>
      <c r="G86">
        <v>1</v>
      </c>
      <c r="I86">
        <f t="shared" si="3"/>
        <v>16</v>
      </c>
      <c r="J86">
        <v>2</v>
      </c>
      <c r="L86">
        <f t="shared" si="4"/>
        <v>44</v>
      </c>
      <c r="M86">
        <f t="shared" si="5"/>
        <v>35</v>
      </c>
    </row>
    <row r="87" spans="1:13" x14ac:dyDescent="0.35">
      <c r="A87">
        <v>86</v>
      </c>
      <c r="B87">
        <v>17</v>
      </c>
      <c r="C87">
        <v>32</v>
      </c>
      <c r="D87">
        <v>0</v>
      </c>
      <c r="E87">
        <v>0.72499999999999998</v>
      </c>
      <c r="F87">
        <v>52.413793103448278</v>
      </c>
      <c r="G87">
        <v>1</v>
      </c>
      <c r="I87">
        <f t="shared" si="3"/>
        <v>15</v>
      </c>
      <c r="J87">
        <v>2</v>
      </c>
      <c r="L87">
        <f t="shared" si="4"/>
        <v>37</v>
      </c>
      <c r="M87">
        <f t="shared" si="5"/>
        <v>28</v>
      </c>
    </row>
    <row r="88" spans="1:13" x14ac:dyDescent="0.35">
      <c r="A88">
        <v>87</v>
      </c>
      <c r="B88">
        <v>9</v>
      </c>
      <c r="C88">
        <v>25</v>
      </c>
      <c r="D88">
        <v>0.46700000000000003</v>
      </c>
      <c r="E88">
        <v>1</v>
      </c>
      <c r="F88">
        <v>60</v>
      </c>
      <c r="G88">
        <v>1</v>
      </c>
      <c r="I88">
        <f t="shared" si="3"/>
        <v>16</v>
      </c>
      <c r="J88">
        <v>2</v>
      </c>
      <c r="L88">
        <f t="shared" si="4"/>
        <v>30</v>
      </c>
      <c r="M88">
        <f t="shared" si="5"/>
        <v>21</v>
      </c>
    </row>
    <row r="89" spans="1:13" x14ac:dyDescent="0.35">
      <c r="A89">
        <v>88</v>
      </c>
      <c r="B89">
        <v>21</v>
      </c>
      <c r="C89">
        <v>37</v>
      </c>
      <c r="D89">
        <v>0.05</v>
      </c>
      <c r="E89">
        <v>1</v>
      </c>
      <c r="F89">
        <v>34</v>
      </c>
      <c r="G89">
        <v>1</v>
      </c>
      <c r="I89">
        <f t="shared" si="3"/>
        <v>16</v>
      </c>
      <c r="J89">
        <v>2</v>
      </c>
      <c r="L89">
        <f t="shared" si="4"/>
        <v>42</v>
      </c>
      <c r="M89">
        <f t="shared" si="5"/>
        <v>33</v>
      </c>
    </row>
    <row r="90" spans="1:13" x14ac:dyDescent="0.35">
      <c r="A90">
        <v>89</v>
      </c>
      <c r="B90">
        <v>15</v>
      </c>
      <c r="C90">
        <v>31</v>
      </c>
      <c r="D90">
        <v>4.7E-2</v>
      </c>
      <c r="E90">
        <v>1</v>
      </c>
      <c r="F90">
        <v>34</v>
      </c>
      <c r="G90">
        <v>1</v>
      </c>
      <c r="I90">
        <f t="shared" si="3"/>
        <v>16</v>
      </c>
      <c r="J90">
        <v>2</v>
      </c>
      <c r="L90">
        <f t="shared" si="4"/>
        <v>36</v>
      </c>
      <c r="M90">
        <f t="shared" si="5"/>
        <v>27</v>
      </c>
    </row>
    <row r="91" spans="1:13" x14ac:dyDescent="0.35">
      <c r="A91">
        <v>90</v>
      </c>
      <c r="B91">
        <v>17</v>
      </c>
      <c r="C91">
        <v>33</v>
      </c>
      <c r="D91">
        <v>6.4000000000000001E-2</v>
      </c>
      <c r="E91">
        <v>0.96699999999999997</v>
      </c>
      <c r="F91">
        <v>42.39917269906929</v>
      </c>
      <c r="G91">
        <v>1</v>
      </c>
      <c r="I91">
        <f t="shared" si="3"/>
        <v>16</v>
      </c>
      <c r="J91">
        <v>3</v>
      </c>
      <c r="L91">
        <f t="shared" si="4"/>
        <v>38</v>
      </c>
      <c r="M91">
        <f t="shared" si="5"/>
        <v>29</v>
      </c>
    </row>
    <row r="92" spans="1:13" x14ac:dyDescent="0.35">
      <c r="A92">
        <v>91</v>
      </c>
      <c r="B92">
        <v>15</v>
      </c>
      <c r="C92">
        <v>31</v>
      </c>
      <c r="D92">
        <v>0.38300000000000001</v>
      </c>
      <c r="E92">
        <v>1</v>
      </c>
      <c r="F92">
        <v>52</v>
      </c>
      <c r="G92">
        <v>1</v>
      </c>
      <c r="I92">
        <f t="shared" si="3"/>
        <v>16</v>
      </c>
      <c r="J92">
        <v>3</v>
      </c>
      <c r="L92">
        <f t="shared" si="4"/>
        <v>36</v>
      </c>
      <c r="M92">
        <f t="shared" si="5"/>
        <v>27</v>
      </c>
    </row>
    <row r="93" spans="1:13" x14ac:dyDescent="0.35">
      <c r="A93">
        <v>92</v>
      </c>
      <c r="B93">
        <v>31</v>
      </c>
      <c r="C93">
        <v>47</v>
      </c>
      <c r="D93">
        <v>0.20799999999999999</v>
      </c>
      <c r="E93">
        <v>1</v>
      </c>
      <c r="F93">
        <v>42</v>
      </c>
      <c r="G93">
        <v>1</v>
      </c>
      <c r="I93">
        <f t="shared" si="3"/>
        <v>16</v>
      </c>
      <c r="J93">
        <v>3</v>
      </c>
      <c r="L93">
        <f t="shared" si="4"/>
        <v>52</v>
      </c>
      <c r="M93">
        <f t="shared" si="5"/>
        <v>43</v>
      </c>
    </row>
    <row r="94" spans="1:13" x14ac:dyDescent="0.35">
      <c r="A94">
        <v>93</v>
      </c>
      <c r="B94">
        <v>28</v>
      </c>
      <c r="C94">
        <v>44</v>
      </c>
      <c r="D94">
        <v>0.34799999999999998</v>
      </c>
      <c r="E94">
        <v>0.97899999999999998</v>
      </c>
      <c r="F94">
        <v>60.265577119509707</v>
      </c>
      <c r="G94">
        <v>1</v>
      </c>
      <c r="I94">
        <f t="shared" si="3"/>
        <v>16</v>
      </c>
      <c r="J94">
        <v>3</v>
      </c>
      <c r="L94">
        <f t="shared" si="4"/>
        <v>49</v>
      </c>
      <c r="M94">
        <f t="shared" si="5"/>
        <v>40</v>
      </c>
    </row>
    <row r="95" spans="1:13" x14ac:dyDescent="0.35">
      <c r="A95">
        <v>94</v>
      </c>
      <c r="B95">
        <v>29</v>
      </c>
      <c r="C95">
        <v>45</v>
      </c>
      <c r="D95">
        <v>0.161</v>
      </c>
      <c r="E95">
        <v>0.998</v>
      </c>
      <c r="F95">
        <v>42.084168336673343</v>
      </c>
      <c r="G95">
        <v>1</v>
      </c>
      <c r="I95">
        <f t="shared" si="3"/>
        <v>16</v>
      </c>
      <c r="J95">
        <v>3</v>
      </c>
      <c r="L95">
        <f t="shared" si="4"/>
        <v>50</v>
      </c>
      <c r="M95">
        <f t="shared" si="5"/>
        <v>41</v>
      </c>
    </row>
    <row r="96" spans="1:13" x14ac:dyDescent="0.35">
      <c r="A96">
        <v>95</v>
      </c>
      <c r="B96">
        <v>17</v>
      </c>
      <c r="C96">
        <v>34</v>
      </c>
      <c r="D96">
        <v>1.4999999999999999E-2</v>
      </c>
      <c r="E96">
        <v>1</v>
      </c>
      <c r="F96">
        <v>34</v>
      </c>
      <c r="G96">
        <v>1</v>
      </c>
      <c r="I96">
        <f t="shared" si="3"/>
        <v>17</v>
      </c>
      <c r="J96">
        <v>3</v>
      </c>
      <c r="L96">
        <f t="shared" si="4"/>
        <v>39</v>
      </c>
      <c r="M96">
        <f t="shared" si="5"/>
        <v>30</v>
      </c>
    </row>
    <row r="97" spans="1:13" x14ac:dyDescent="0.35">
      <c r="A97">
        <v>96</v>
      </c>
      <c r="B97">
        <v>15</v>
      </c>
      <c r="C97">
        <v>31</v>
      </c>
      <c r="D97">
        <v>0.44400000000000001</v>
      </c>
      <c r="E97">
        <v>1</v>
      </c>
      <c r="F97">
        <v>60</v>
      </c>
      <c r="G97">
        <v>1</v>
      </c>
      <c r="I97">
        <f t="shared" si="3"/>
        <v>16</v>
      </c>
      <c r="J97">
        <v>3</v>
      </c>
      <c r="L97">
        <f t="shared" si="4"/>
        <v>36</v>
      </c>
      <c r="M97">
        <f t="shared" si="5"/>
        <v>27</v>
      </c>
    </row>
    <row r="98" spans="1:13" x14ac:dyDescent="0.35">
      <c r="A98">
        <v>97</v>
      </c>
      <c r="B98">
        <v>25</v>
      </c>
      <c r="C98">
        <v>41</v>
      </c>
      <c r="D98">
        <v>0.19600000000000001</v>
      </c>
      <c r="E98">
        <v>0.84899999999999998</v>
      </c>
      <c r="F98">
        <v>60.070671378091873</v>
      </c>
      <c r="G98">
        <v>1</v>
      </c>
      <c r="I98">
        <f t="shared" si="3"/>
        <v>16</v>
      </c>
      <c r="J98">
        <v>3</v>
      </c>
      <c r="L98">
        <f t="shared" si="4"/>
        <v>46</v>
      </c>
      <c r="M98">
        <f t="shared" si="5"/>
        <v>37</v>
      </c>
    </row>
    <row r="99" spans="1:13" x14ac:dyDescent="0.35">
      <c r="A99">
        <v>98</v>
      </c>
      <c r="B99">
        <v>14</v>
      </c>
      <c r="C99">
        <v>30</v>
      </c>
      <c r="D99">
        <v>0</v>
      </c>
      <c r="E99">
        <v>1</v>
      </c>
      <c r="F99">
        <v>34</v>
      </c>
      <c r="G99">
        <v>1</v>
      </c>
      <c r="I99">
        <f t="shared" si="3"/>
        <v>16</v>
      </c>
      <c r="J99">
        <v>3</v>
      </c>
      <c r="L99">
        <f t="shared" si="4"/>
        <v>35</v>
      </c>
      <c r="M99">
        <f t="shared" si="5"/>
        <v>26</v>
      </c>
    </row>
    <row r="100" spans="1:13" x14ac:dyDescent="0.35">
      <c r="A100">
        <v>99</v>
      </c>
      <c r="B100">
        <v>21</v>
      </c>
      <c r="C100">
        <v>37</v>
      </c>
      <c r="D100">
        <v>0.161</v>
      </c>
      <c r="E100">
        <v>1</v>
      </c>
      <c r="F100">
        <v>42</v>
      </c>
      <c r="G100">
        <v>1</v>
      </c>
      <c r="I100">
        <f t="shared" si="3"/>
        <v>16</v>
      </c>
      <c r="J100">
        <v>3</v>
      </c>
      <c r="L100">
        <f t="shared" si="4"/>
        <v>42</v>
      </c>
      <c r="M100">
        <f t="shared" si="5"/>
        <v>33</v>
      </c>
    </row>
    <row r="101" spans="1:13" x14ac:dyDescent="0.35">
      <c r="A101">
        <v>100</v>
      </c>
      <c r="B101">
        <v>19</v>
      </c>
      <c r="C101">
        <v>35</v>
      </c>
      <c r="D101">
        <v>0.51300000000000001</v>
      </c>
      <c r="E101">
        <v>1</v>
      </c>
      <c r="F101">
        <v>75</v>
      </c>
      <c r="G101">
        <v>1</v>
      </c>
      <c r="I101">
        <f t="shared" si="3"/>
        <v>16</v>
      </c>
      <c r="J101">
        <v>3</v>
      </c>
      <c r="L101">
        <f t="shared" si="4"/>
        <v>40</v>
      </c>
      <c r="M101">
        <f t="shared" si="5"/>
        <v>31</v>
      </c>
    </row>
    <row r="102" spans="1:13" x14ac:dyDescent="0.35">
      <c r="A102">
        <v>101</v>
      </c>
      <c r="B102">
        <v>16</v>
      </c>
      <c r="C102">
        <v>32</v>
      </c>
      <c r="D102">
        <v>0.51200000000000001</v>
      </c>
      <c r="E102">
        <v>1</v>
      </c>
      <c r="F102">
        <v>75</v>
      </c>
      <c r="G102">
        <v>1</v>
      </c>
      <c r="I102">
        <f t="shared" si="3"/>
        <v>16</v>
      </c>
      <c r="J102">
        <v>3</v>
      </c>
      <c r="L102">
        <f t="shared" si="4"/>
        <v>37</v>
      </c>
      <c r="M102">
        <f t="shared" si="5"/>
        <v>28</v>
      </c>
    </row>
    <row r="103" spans="1:13" x14ac:dyDescent="0.35">
      <c r="A103">
        <v>102</v>
      </c>
      <c r="B103">
        <v>14</v>
      </c>
      <c r="C103">
        <v>30</v>
      </c>
      <c r="D103">
        <v>0.34</v>
      </c>
      <c r="E103">
        <v>1</v>
      </c>
      <c r="F103">
        <v>52</v>
      </c>
      <c r="G103">
        <v>1</v>
      </c>
      <c r="I103">
        <f t="shared" si="3"/>
        <v>16</v>
      </c>
      <c r="J103">
        <v>3</v>
      </c>
      <c r="L103">
        <f t="shared" si="4"/>
        <v>35</v>
      </c>
      <c r="M103">
        <f t="shared" si="5"/>
        <v>26</v>
      </c>
    </row>
    <row r="104" spans="1:13" x14ac:dyDescent="0.35">
      <c r="A104">
        <v>103</v>
      </c>
      <c r="B104">
        <v>15</v>
      </c>
      <c r="C104">
        <v>31</v>
      </c>
      <c r="D104">
        <v>0.24199999999999999</v>
      </c>
      <c r="E104">
        <v>0.99099999999999999</v>
      </c>
      <c r="F104">
        <v>52.472250252270427</v>
      </c>
      <c r="G104">
        <v>1</v>
      </c>
      <c r="I104">
        <f t="shared" si="3"/>
        <v>16</v>
      </c>
      <c r="J104">
        <v>3</v>
      </c>
      <c r="L104">
        <f t="shared" si="4"/>
        <v>36</v>
      </c>
      <c r="M104">
        <f t="shared" si="5"/>
        <v>27</v>
      </c>
    </row>
    <row r="105" spans="1:13" x14ac:dyDescent="0.35">
      <c r="A105">
        <v>104</v>
      </c>
      <c r="B105">
        <v>16</v>
      </c>
      <c r="C105">
        <v>32</v>
      </c>
      <c r="D105">
        <v>0.40100000000000002</v>
      </c>
      <c r="E105">
        <v>1</v>
      </c>
      <c r="F105">
        <v>60</v>
      </c>
      <c r="G105">
        <v>1</v>
      </c>
      <c r="I105">
        <f t="shared" si="3"/>
        <v>16</v>
      </c>
      <c r="J105">
        <v>3</v>
      </c>
      <c r="L105">
        <f t="shared" si="4"/>
        <v>37</v>
      </c>
      <c r="M105">
        <f t="shared" si="5"/>
        <v>28</v>
      </c>
    </row>
    <row r="106" spans="1:13" x14ac:dyDescent="0.35">
      <c r="A106">
        <v>105</v>
      </c>
      <c r="B106">
        <v>14</v>
      </c>
      <c r="C106">
        <v>30</v>
      </c>
      <c r="D106">
        <v>0.35199999999999998</v>
      </c>
      <c r="E106">
        <v>0.997</v>
      </c>
      <c r="F106">
        <v>60.180541624874621</v>
      </c>
      <c r="G106">
        <v>1</v>
      </c>
      <c r="I106">
        <f t="shared" si="3"/>
        <v>16</v>
      </c>
      <c r="J106">
        <v>3</v>
      </c>
      <c r="L106">
        <f t="shared" si="4"/>
        <v>35</v>
      </c>
      <c r="M106">
        <f t="shared" si="5"/>
        <v>26</v>
      </c>
    </row>
    <row r="107" spans="1:13" x14ac:dyDescent="0.35">
      <c r="A107">
        <v>106</v>
      </c>
      <c r="B107">
        <v>17</v>
      </c>
      <c r="C107">
        <v>34</v>
      </c>
      <c r="D107">
        <v>0.46200000000000002</v>
      </c>
      <c r="E107">
        <v>1</v>
      </c>
      <c r="F107">
        <v>75</v>
      </c>
      <c r="G107">
        <v>1</v>
      </c>
      <c r="I107">
        <f t="shared" si="3"/>
        <v>17</v>
      </c>
      <c r="J107">
        <v>3</v>
      </c>
      <c r="L107">
        <f t="shared" si="4"/>
        <v>39</v>
      </c>
      <c r="M107">
        <f t="shared" si="5"/>
        <v>30</v>
      </c>
    </row>
    <row r="108" spans="1:13" x14ac:dyDescent="0.35">
      <c r="A108">
        <v>107</v>
      </c>
      <c r="B108">
        <v>19</v>
      </c>
      <c r="C108">
        <v>36</v>
      </c>
      <c r="D108">
        <v>0.26800000000000002</v>
      </c>
      <c r="E108">
        <v>1</v>
      </c>
      <c r="F108">
        <v>52</v>
      </c>
      <c r="G108">
        <v>1</v>
      </c>
      <c r="I108">
        <f t="shared" si="3"/>
        <v>17</v>
      </c>
      <c r="J108">
        <v>3</v>
      </c>
      <c r="L108">
        <f t="shared" si="4"/>
        <v>41</v>
      </c>
      <c r="M108">
        <f t="shared" si="5"/>
        <v>32</v>
      </c>
    </row>
    <row r="109" spans="1:13" x14ac:dyDescent="0.35">
      <c r="A109">
        <v>108</v>
      </c>
      <c r="B109">
        <v>14</v>
      </c>
      <c r="C109">
        <v>31</v>
      </c>
      <c r="D109">
        <v>0.35899999999999999</v>
      </c>
      <c r="E109">
        <v>1</v>
      </c>
      <c r="F109">
        <v>60</v>
      </c>
      <c r="G109">
        <v>1</v>
      </c>
      <c r="I109">
        <f t="shared" si="3"/>
        <v>17</v>
      </c>
      <c r="J109">
        <v>3</v>
      </c>
      <c r="L109">
        <f t="shared" si="4"/>
        <v>36</v>
      </c>
      <c r="M109">
        <f t="shared" si="5"/>
        <v>27</v>
      </c>
    </row>
    <row r="110" spans="1:13" x14ac:dyDescent="0.35">
      <c r="A110">
        <v>109</v>
      </c>
      <c r="B110">
        <v>16</v>
      </c>
      <c r="C110">
        <v>33</v>
      </c>
      <c r="D110">
        <v>0.45</v>
      </c>
      <c r="E110">
        <v>1</v>
      </c>
      <c r="F110">
        <v>75</v>
      </c>
      <c r="G110">
        <v>1</v>
      </c>
      <c r="I110">
        <f t="shared" si="3"/>
        <v>17</v>
      </c>
      <c r="J110">
        <v>3</v>
      </c>
      <c r="L110">
        <f t="shared" si="4"/>
        <v>38</v>
      </c>
      <c r="M110">
        <f t="shared" si="5"/>
        <v>29</v>
      </c>
    </row>
    <row r="111" spans="1:13" x14ac:dyDescent="0.35">
      <c r="A111">
        <v>110</v>
      </c>
      <c r="B111">
        <v>12</v>
      </c>
      <c r="C111">
        <v>29</v>
      </c>
      <c r="D111">
        <v>0.24299999999999999</v>
      </c>
      <c r="E111">
        <v>1</v>
      </c>
      <c r="F111">
        <v>52</v>
      </c>
      <c r="G111">
        <v>1</v>
      </c>
      <c r="I111">
        <f t="shared" si="3"/>
        <v>17</v>
      </c>
      <c r="J111">
        <v>3</v>
      </c>
      <c r="L111">
        <f t="shared" si="4"/>
        <v>34</v>
      </c>
      <c r="M111">
        <f t="shared" si="5"/>
        <v>25</v>
      </c>
    </row>
    <row r="112" spans="1:13" x14ac:dyDescent="0.35">
      <c r="A112">
        <v>111</v>
      </c>
      <c r="B112">
        <v>21</v>
      </c>
      <c r="C112">
        <v>38</v>
      </c>
      <c r="D112">
        <v>0.24199999999999999</v>
      </c>
      <c r="E112">
        <v>1</v>
      </c>
      <c r="F112">
        <v>52</v>
      </c>
      <c r="G112">
        <v>1</v>
      </c>
      <c r="I112">
        <f t="shared" si="3"/>
        <v>17</v>
      </c>
      <c r="J112">
        <v>3</v>
      </c>
      <c r="L112">
        <f t="shared" si="4"/>
        <v>43</v>
      </c>
      <c r="M112">
        <f t="shared" si="5"/>
        <v>34</v>
      </c>
    </row>
    <row r="113" spans="1:13" x14ac:dyDescent="0.35">
      <c r="A113">
        <v>112</v>
      </c>
      <c r="B113">
        <v>28</v>
      </c>
      <c r="C113">
        <v>45</v>
      </c>
      <c r="D113">
        <v>0</v>
      </c>
      <c r="E113">
        <v>1</v>
      </c>
      <c r="F113">
        <v>42</v>
      </c>
      <c r="G113">
        <v>1</v>
      </c>
      <c r="I113">
        <f t="shared" si="3"/>
        <v>17</v>
      </c>
      <c r="J113">
        <v>3</v>
      </c>
      <c r="L113">
        <f t="shared" si="4"/>
        <v>50</v>
      </c>
      <c r="M113">
        <f t="shared" si="5"/>
        <v>41</v>
      </c>
    </row>
    <row r="114" spans="1:13" x14ac:dyDescent="0.35">
      <c r="A114">
        <v>113</v>
      </c>
      <c r="B114">
        <v>22</v>
      </c>
      <c r="C114">
        <v>40</v>
      </c>
      <c r="D114">
        <v>0.33</v>
      </c>
      <c r="E114">
        <v>0.96199999999999997</v>
      </c>
      <c r="F114">
        <v>74.844074844074854</v>
      </c>
      <c r="G114">
        <v>1</v>
      </c>
      <c r="I114">
        <f t="shared" si="3"/>
        <v>18</v>
      </c>
      <c r="J114">
        <v>3</v>
      </c>
      <c r="L114">
        <f t="shared" si="4"/>
        <v>45</v>
      </c>
      <c r="M114">
        <f t="shared" si="5"/>
        <v>36</v>
      </c>
    </row>
    <row r="115" spans="1:13" x14ac:dyDescent="0.35">
      <c r="A115">
        <v>114</v>
      </c>
      <c r="B115">
        <v>16</v>
      </c>
      <c r="C115">
        <v>34</v>
      </c>
      <c r="D115">
        <v>0.28799999999999998</v>
      </c>
      <c r="E115">
        <v>1</v>
      </c>
      <c r="F115">
        <v>60</v>
      </c>
      <c r="G115">
        <v>1</v>
      </c>
      <c r="I115">
        <f t="shared" si="3"/>
        <v>18</v>
      </c>
      <c r="J115">
        <v>3</v>
      </c>
      <c r="L115">
        <f t="shared" si="4"/>
        <v>39</v>
      </c>
      <c r="M115">
        <f t="shared" si="5"/>
        <v>30</v>
      </c>
    </row>
    <row r="116" spans="1:13" x14ac:dyDescent="0.35">
      <c r="A116">
        <v>115</v>
      </c>
      <c r="B116">
        <v>14</v>
      </c>
      <c r="C116">
        <v>32</v>
      </c>
      <c r="D116">
        <v>0.13900000000000001</v>
      </c>
      <c r="E116">
        <v>1</v>
      </c>
      <c r="F116">
        <v>52</v>
      </c>
      <c r="G116">
        <v>1</v>
      </c>
      <c r="I116">
        <f t="shared" si="3"/>
        <v>18</v>
      </c>
      <c r="J116">
        <v>3</v>
      </c>
      <c r="L116">
        <f t="shared" si="4"/>
        <v>37</v>
      </c>
      <c r="M116">
        <f t="shared" si="5"/>
        <v>28</v>
      </c>
    </row>
    <row r="117" spans="1:13" x14ac:dyDescent="0.35">
      <c r="A117">
        <v>116</v>
      </c>
      <c r="B117">
        <v>25</v>
      </c>
      <c r="C117">
        <v>44</v>
      </c>
      <c r="D117">
        <v>0.17499999999999999</v>
      </c>
      <c r="E117">
        <v>0.99299999999999999</v>
      </c>
      <c r="F117">
        <v>60.422960725075527</v>
      </c>
      <c r="G117">
        <v>1</v>
      </c>
      <c r="I117">
        <f t="shared" si="3"/>
        <v>19</v>
      </c>
      <c r="J117">
        <v>3</v>
      </c>
      <c r="L117">
        <f t="shared" si="4"/>
        <v>49</v>
      </c>
      <c r="M117">
        <f t="shared" si="5"/>
        <v>40</v>
      </c>
    </row>
    <row r="118" spans="1:13" x14ac:dyDescent="0.35">
      <c r="A118">
        <v>117</v>
      </c>
      <c r="B118">
        <v>19</v>
      </c>
      <c r="C118">
        <v>38</v>
      </c>
      <c r="D118">
        <v>0.11</v>
      </c>
      <c r="E118">
        <v>1</v>
      </c>
      <c r="F118">
        <v>52</v>
      </c>
      <c r="G118">
        <v>1</v>
      </c>
      <c r="I118">
        <f t="shared" si="3"/>
        <v>19</v>
      </c>
      <c r="J118">
        <v>3</v>
      </c>
      <c r="L118">
        <f t="shared" si="4"/>
        <v>43</v>
      </c>
      <c r="M118">
        <f t="shared" si="5"/>
        <v>34</v>
      </c>
    </row>
    <row r="119" spans="1:13" x14ac:dyDescent="0.35">
      <c r="A119">
        <v>118</v>
      </c>
      <c r="B119">
        <v>22</v>
      </c>
      <c r="C119">
        <v>42</v>
      </c>
      <c r="D119">
        <v>9.2999999999999999E-2</v>
      </c>
      <c r="E119">
        <v>1</v>
      </c>
      <c r="F119">
        <v>60</v>
      </c>
      <c r="G119">
        <v>1</v>
      </c>
      <c r="I119">
        <f t="shared" si="3"/>
        <v>20</v>
      </c>
      <c r="J119">
        <v>3</v>
      </c>
      <c r="L119">
        <f t="shared" si="4"/>
        <v>47</v>
      </c>
      <c r="M119">
        <f t="shared" si="5"/>
        <v>38</v>
      </c>
    </row>
    <row r="120" spans="1:13" x14ac:dyDescent="0.35">
      <c r="A120">
        <v>119</v>
      </c>
      <c r="B120">
        <v>18</v>
      </c>
      <c r="C120">
        <v>38</v>
      </c>
      <c r="D120">
        <v>0.20699999999999999</v>
      </c>
      <c r="E120">
        <v>1</v>
      </c>
      <c r="F120">
        <v>75</v>
      </c>
      <c r="G120">
        <v>1</v>
      </c>
      <c r="I120">
        <f t="shared" si="3"/>
        <v>20</v>
      </c>
      <c r="J120">
        <v>3</v>
      </c>
      <c r="L120">
        <f t="shared" si="4"/>
        <v>43</v>
      </c>
      <c r="M120">
        <f t="shared" si="5"/>
        <v>34</v>
      </c>
    </row>
  </sheetData>
  <autoFilter ref="C1:C120" xr:uid="{C22FEDBE-EB35-4B5D-AB8D-2D04299B87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1F80-4E34-43F2-8B89-C24CCBF111FD}">
  <dimension ref="A1:AL229"/>
  <sheetViews>
    <sheetView topLeftCell="O1" workbookViewId="0">
      <selection activeCell="V1" sqref="V1:V1048576"/>
    </sheetView>
  </sheetViews>
  <sheetFormatPr defaultRowHeight="14.5" x14ac:dyDescent="0.35"/>
  <sheetData>
    <row r="1" spans="1:38" x14ac:dyDescent="0.3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  <c r="AB1" s="7" t="s">
        <v>37</v>
      </c>
      <c r="AC1" s="7" t="s">
        <v>38</v>
      </c>
      <c r="AD1" s="7" t="s">
        <v>39</v>
      </c>
      <c r="AE1" s="7" t="s">
        <v>40</v>
      </c>
      <c r="AF1" s="7" t="s">
        <v>6</v>
      </c>
      <c r="AG1" s="7" t="s">
        <v>4</v>
      </c>
      <c r="AH1" s="7" t="s">
        <v>3</v>
      </c>
      <c r="AI1" s="7" t="s">
        <v>7</v>
      </c>
      <c r="AJ1" s="7" t="s">
        <v>1</v>
      </c>
      <c r="AK1" s="7" t="s">
        <v>2</v>
      </c>
      <c r="AL1" s="7" t="s">
        <v>41</v>
      </c>
    </row>
    <row r="2" spans="1:38" x14ac:dyDescent="0.35">
      <c r="A2" t="s">
        <v>42</v>
      </c>
      <c r="B2">
        <v>319152.16330000007</v>
      </c>
      <c r="C2">
        <v>6400297.2861000001</v>
      </c>
      <c r="D2">
        <v>7617759</v>
      </c>
      <c r="E2" t="s">
        <v>43</v>
      </c>
      <c r="F2" t="s">
        <v>44</v>
      </c>
      <c r="G2">
        <v>133665</v>
      </c>
      <c r="H2">
        <v>2</v>
      </c>
      <c r="I2" t="s">
        <v>45</v>
      </c>
      <c r="J2" t="s">
        <v>46</v>
      </c>
      <c r="K2">
        <v>143831</v>
      </c>
      <c r="L2">
        <v>2</v>
      </c>
      <c r="M2">
        <v>10166</v>
      </c>
      <c r="N2" t="s">
        <v>45</v>
      </c>
      <c r="O2" t="s">
        <v>46</v>
      </c>
      <c r="P2">
        <v>143831</v>
      </c>
      <c r="Q2">
        <v>2</v>
      </c>
      <c r="R2">
        <v>10166</v>
      </c>
      <c r="S2">
        <v>1</v>
      </c>
      <c r="T2">
        <v>0.27900000000000003</v>
      </c>
      <c r="U2">
        <v>14</v>
      </c>
      <c r="V2">
        <v>0.876</v>
      </c>
      <c r="W2">
        <v>46</v>
      </c>
      <c r="X2">
        <v>31</v>
      </c>
      <c r="Y2">
        <v>0</v>
      </c>
      <c r="Z2">
        <v>37.12916666666667</v>
      </c>
      <c r="AA2">
        <v>39.953055555555558</v>
      </c>
      <c r="AB2" t="s">
        <v>47</v>
      </c>
      <c r="AC2">
        <v>37</v>
      </c>
      <c r="AD2">
        <v>47265</v>
      </c>
      <c r="AE2">
        <v>57431</v>
      </c>
      <c r="AF2">
        <v>52.511415525114153</v>
      </c>
      <c r="AG2">
        <v>0.876</v>
      </c>
      <c r="AH2">
        <v>0.27900000000000003</v>
      </c>
      <c r="AI2">
        <v>1</v>
      </c>
      <c r="AJ2">
        <v>11</v>
      </c>
      <c r="AK2">
        <v>18</v>
      </c>
      <c r="AL2">
        <v>7</v>
      </c>
    </row>
    <row r="3" spans="1:38" x14ac:dyDescent="0.35">
      <c r="A3" t="s">
        <v>48</v>
      </c>
      <c r="B3">
        <v>319152.16330000007</v>
      </c>
      <c r="C3">
        <v>6400297.2861000001</v>
      </c>
      <c r="D3">
        <v>2060040</v>
      </c>
      <c r="E3" t="s">
        <v>49</v>
      </c>
      <c r="F3" t="s">
        <v>50</v>
      </c>
      <c r="G3">
        <v>120588</v>
      </c>
      <c r="H3">
        <v>2</v>
      </c>
      <c r="I3" t="s">
        <v>51</v>
      </c>
      <c r="J3" t="s">
        <v>52</v>
      </c>
      <c r="K3">
        <v>130754</v>
      </c>
      <c r="L3">
        <v>2</v>
      </c>
      <c r="M3">
        <v>10166</v>
      </c>
      <c r="N3" t="s">
        <v>53</v>
      </c>
      <c r="O3" t="s">
        <v>54</v>
      </c>
      <c r="P3">
        <v>149157</v>
      </c>
      <c r="Q3">
        <v>2</v>
      </c>
      <c r="R3">
        <v>28569</v>
      </c>
      <c r="S3">
        <v>0.35599999999999998</v>
      </c>
      <c r="T3">
        <v>0.248</v>
      </c>
      <c r="U3">
        <v>8</v>
      </c>
      <c r="V3">
        <v>1</v>
      </c>
      <c r="W3">
        <v>34</v>
      </c>
      <c r="X3">
        <v>26</v>
      </c>
      <c r="Y3">
        <v>0</v>
      </c>
      <c r="Z3">
        <v>33.49666666666667</v>
      </c>
      <c r="AA3">
        <v>36.320555555555558</v>
      </c>
      <c r="AB3" t="s">
        <v>47</v>
      </c>
      <c r="AC3">
        <v>33</v>
      </c>
      <c r="AD3">
        <v>34188</v>
      </c>
      <c r="AE3">
        <v>44354</v>
      </c>
      <c r="AF3">
        <v>34</v>
      </c>
      <c r="AG3">
        <v>1</v>
      </c>
      <c r="AH3">
        <v>0.248</v>
      </c>
      <c r="AI3">
        <v>1</v>
      </c>
      <c r="AJ3">
        <v>7</v>
      </c>
      <c r="AK3">
        <v>14</v>
      </c>
      <c r="AL3">
        <v>7</v>
      </c>
    </row>
    <row r="4" spans="1:38" x14ac:dyDescent="0.35">
      <c r="A4" t="s">
        <v>55</v>
      </c>
      <c r="B4">
        <v>319152.16330000007</v>
      </c>
      <c r="C4">
        <v>6400297.2861000001</v>
      </c>
      <c r="D4">
        <v>8121085</v>
      </c>
      <c r="E4" t="s">
        <v>56</v>
      </c>
      <c r="F4" t="s">
        <v>57</v>
      </c>
      <c r="G4">
        <v>110481</v>
      </c>
      <c r="H4">
        <v>2</v>
      </c>
      <c r="I4" t="s">
        <v>58</v>
      </c>
      <c r="J4" t="s">
        <v>59</v>
      </c>
      <c r="K4">
        <v>120654</v>
      </c>
      <c r="L4">
        <v>2</v>
      </c>
      <c r="M4">
        <v>10173</v>
      </c>
      <c r="N4" t="s">
        <v>60</v>
      </c>
      <c r="O4" t="s">
        <v>61</v>
      </c>
      <c r="P4">
        <v>141084</v>
      </c>
      <c r="Q4">
        <v>2</v>
      </c>
      <c r="R4">
        <v>30603</v>
      </c>
      <c r="S4">
        <v>0.33200000000000002</v>
      </c>
      <c r="T4">
        <v>0.38100000000000001</v>
      </c>
      <c r="U4">
        <v>16</v>
      </c>
      <c r="V4">
        <v>1</v>
      </c>
      <c r="W4">
        <v>42</v>
      </c>
      <c r="X4">
        <v>26</v>
      </c>
      <c r="Y4">
        <v>0</v>
      </c>
      <c r="Z4">
        <v>30.689166666666669</v>
      </c>
      <c r="AA4">
        <v>33.515000000000001</v>
      </c>
      <c r="AB4" t="s">
        <v>47</v>
      </c>
      <c r="AC4">
        <v>30</v>
      </c>
      <c r="AD4">
        <v>24081</v>
      </c>
      <c r="AE4">
        <v>34254</v>
      </c>
      <c r="AF4">
        <v>42</v>
      </c>
      <c r="AG4">
        <v>1</v>
      </c>
      <c r="AH4">
        <v>0.38100000000000001</v>
      </c>
      <c r="AI4">
        <v>1</v>
      </c>
      <c r="AJ4">
        <v>5</v>
      </c>
      <c r="AK4">
        <v>12</v>
      </c>
      <c r="AL4">
        <v>7</v>
      </c>
    </row>
    <row r="5" spans="1:38" x14ac:dyDescent="0.35">
      <c r="A5" t="s">
        <v>62</v>
      </c>
      <c r="B5">
        <v>319152.16330000007</v>
      </c>
      <c r="C5">
        <v>6400297.2861000001</v>
      </c>
      <c r="D5">
        <v>1876107</v>
      </c>
      <c r="E5" t="s">
        <v>63</v>
      </c>
      <c r="F5" t="s">
        <v>64</v>
      </c>
      <c r="G5">
        <v>118246</v>
      </c>
      <c r="H5">
        <v>2</v>
      </c>
      <c r="I5" t="s">
        <v>65</v>
      </c>
      <c r="J5" t="s">
        <v>66</v>
      </c>
      <c r="K5">
        <v>128429</v>
      </c>
      <c r="L5">
        <v>2</v>
      </c>
      <c r="M5">
        <v>10183</v>
      </c>
      <c r="N5" t="s">
        <v>67</v>
      </c>
      <c r="O5" t="s">
        <v>68</v>
      </c>
      <c r="P5">
        <v>145999</v>
      </c>
      <c r="Q5">
        <v>2</v>
      </c>
      <c r="R5">
        <v>27753</v>
      </c>
      <c r="S5">
        <v>0.36699999999999999</v>
      </c>
      <c r="T5">
        <v>0.38</v>
      </c>
      <c r="U5">
        <v>16</v>
      </c>
      <c r="V5">
        <v>1</v>
      </c>
      <c r="W5">
        <v>42</v>
      </c>
      <c r="X5">
        <v>26</v>
      </c>
      <c r="Y5">
        <v>0</v>
      </c>
      <c r="Z5">
        <v>32.846111111111107</v>
      </c>
      <c r="AA5">
        <v>35.674722222222222</v>
      </c>
      <c r="AB5" t="s">
        <v>47</v>
      </c>
      <c r="AC5">
        <v>32</v>
      </c>
      <c r="AD5">
        <v>31846</v>
      </c>
      <c r="AE5">
        <v>42029</v>
      </c>
      <c r="AF5">
        <v>42</v>
      </c>
      <c r="AG5">
        <v>1</v>
      </c>
      <c r="AH5">
        <v>0.38</v>
      </c>
      <c r="AI5">
        <v>1</v>
      </c>
      <c r="AJ5">
        <v>7</v>
      </c>
      <c r="AK5">
        <v>14</v>
      </c>
      <c r="AL5">
        <v>7</v>
      </c>
    </row>
    <row r="6" spans="1:38" x14ac:dyDescent="0.35">
      <c r="A6" t="s">
        <v>69</v>
      </c>
      <c r="B6">
        <v>319152.16330000007</v>
      </c>
      <c r="C6">
        <v>6400297.2861000001</v>
      </c>
      <c r="D6">
        <v>1838297</v>
      </c>
      <c r="E6" t="s">
        <v>70</v>
      </c>
      <c r="F6" t="s">
        <v>71</v>
      </c>
      <c r="G6">
        <v>132541</v>
      </c>
      <c r="H6">
        <v>2</v>
      </c>
      <c r="I6" t="s">
        <v>72</v>
      </c>
      <c r="J6" t="s">
        <v>73</v>
      </c>
      <c r="K6">
        <v>142729</v>
      </c>
      <c r="L6">
        <v>2</v>
      </c>
      <c r="M6">
        <v>10188</v>
      </c>
      <c r="N6" t="s">
        <v>74</v>
      </c>
      <c r="O6" t="s">
        <v>75</v>
      </c>
      <c r="P6">
        <v>163158</v>
      </c>
      <c r="Q6">
        <v>2</v>
      </c>
      <c r="R6">
        <v>30617</v>
      </c>
      <c r="S6">
        <v>0.33300000000000002</v>
      </c>
      <c r="T6">
        <v>0.247</v>
      </c>
      <c r="U6">
        <v>8</v>
      </c>
      <c r="V6">
        <v>1</v>
      </c>
      <c r="W6">
        <v>34</v>
      </c>
      <c r="X6">
        <v>26</v>
      </c>
      <c r="Y6">
        <v>0</v>
      </c>
      <c r="Z6">
        <v>36.816944444444452</v>
      </c>
      <c r="AA6">
        <v>39.646944444444443</v>
      </c>
      <c r="AB6" t="s">
        <v>47</v>
      </c>
      <c r="AC6">
        <v>36</v>
      </c>
      <c r="AD6">
        <v>46141</v>
      </c>
      <c r="AE6">
        <v>56329</v>
      </c>
      <c r="AF6">
        <v>34</v>
      </c>
      <c r="AG6">
        <v>1</v>
      </c>
      <c r="AH6">
        <v>0.247</v>
      </c>
      <c r="AI6">
        <v>1</v>
      </c>
      <c r="AJ6">
        <v>11</v>
      </c>
      <c r="AK6">
        <v>18</v>
      </c>
      <c r="AL6">
        <v>7</v>
      </c>
    </row>
    <row r="7" spans="1:38" x14ac:dyDescent="0.35">
      <c r="A7" t="s">
        <v>76</v>
      </c>
      <c r="B7">
        <v>319152.16330000007</v>
      </c>
      <c r="C7">
        <v>6400297.2861000001</v>
      </c>
      <c r="D7">
        <v>1938592</v>
      </c>
      <c r="E7" t="s">
        <v>77</v>
      </c>
      <c r="F7" t="s">
        <v>78</v>
      </c>
      <c r="G7">
        <v>115302</v>
      </c>
      <c r="H7">
        <v>2</v>
      </c>
      <c r="I7" t="s">
        <v>79</v>
      </c>
      <c r="J7" t="s">
        <v>80</v>
      </c>
      <c r="K7">
        <v>125509</v>
      </c>
      <c r="L7">
        <v>2</v>
      </c>
      <c r="M7">
        <v>10207</v>
      </c>
      <c r="N7" t="s">
        <v>81</v>
      </c>
      <c r="O7" t="s">
        <v>82</v>
      </c>
      <c r="P7">
        <v>149259</v>
      </c>
      <c r="Q7">
        <v>2</v>
      </c>
      <c r="R7">
        <v>33957</v>
      </c>
      <c r="S7">
        <v>0.30099999999999999</v>
      </c>
      <c r="T7">
        <v>0.378</v>
      </c>
      <c r="U7">
        <v>16</v>
      </c>
      <c r="V7">
        <v>1</v>
      </c>
      <c r="W7">
        <v>42</v>
      </c>
      <c r="X7">
        <v>26</v>
      </c>
      <c r="Y7">
        <v>0</v>
      </c>
      <c r="Z7">
        <v>32.028333333333329</v>
      </c>
      <c r="AA7">
        <v>34.863611111111112</v>
      </c>
      <c r="AB7" t="s">
        <v>47</v>
      </c>
      <c r="AC7">
        <v>32</v>
      </c>
      <c r="AD7">
        <v>28902</v>
      </c>
      <c r="AE7">
        <v>39109</v>
      </c>
      <c r="AF7">
        <v>42</v>
      </c>
      <c r="AG7">
        <v>1</v>
      </c>
      <c r="AH7">
        <v>0.378</v>
      </c>
      <c r="AI7">
        <v>1</v>
      </c>
      <c r="AJ7">
        <v>6</v>
      </c>
      <c r="AK7">
        <v>13</v>
      </c>
      <c r="AL7">
        <v>7</v>
      </c>
    </row>
    <row r="8" spans="1:38" x14ac:dyDescent="0.35">
      <c r="A8" t="s">
        <v>83</v>
      </c>
      <c r="B8">
        <v>319152.16330000007</v>
      </c>
      <c r="C8">
        <v>6400297.2861000001</v>
      </c>
      <c r="D8">
        <v>4646873</v>
      </c>
      <c r="E8" t="s">
        <v>84</v>
      </c>
      <c r="F8" t="s">
        <v>85</v>
      </c>
      <c r="G8">
        <v>165190</v>
      </c>
      <c r="H8">
        <v>2</v>
      </c>
      <c r="I8" t="s">
        <v>86</v>
      </c>
      <c r="J8" t="s">
        <v>87</v>
      </c>
      <c r="K8">
        <v>175404</v>
      </c>
      <c r="L8">
        <v>3</v>
      </c>
      <c r="M8">
        <v>10214</v>
      </c>
      <c r="N8" t="s">
        <v>88</v>
      </c>
      <c r="O8" t="s">
        <v>89</v>
      </c>
      <c r="P8">
        <v>199604</v>
      </c>
      <c r="Q8">
        <v>3</v>
      </c>
      <c r="R8">
        <v>34414</v>
      </c>
      <c r="S8">
        <v>0.29699999999999999</v>
      </c>
      <c r="T8">
        <v>0.218</v>
      </c>
      <c r="U8">
        <v>13</v>
      </c>
      <c r="V8">
        <v>1</v>
      </c>
      <c r="W8">
        <v>60</v>
      </c>
      <c r="X8">
        <v>47</v>
      </c>
      <c r="Y8">
        <v>284.21499999999997</v>
      </c>
      <c r="Z8">
        <v>45.886111111111113</v>
      </c>
      <c r="AA8">
        <v>48.723333333333343</v>
      </c>
      <c r="AB8" t="s">
        <v>90</v>
      </c>
      <c r="AC8">
        <v>45</v>
      </c>
      <c r="AD8">
        <v>78790</v>
      </c>
      <c r="AE8">
        <v>86214</v>
      </c>
      <c r="AF8">
        <v>60</v>
      </c>
      <c r="AG8">
        <v>1</v>
      </c>
      <c r="AH8">
        <v>0.218</v>
      </c>
      <c r="AI8">
        <v>1</v>
      </c>
      <c r="AJ8">
        <v>20</v>
      </c>
      <c r="AK8">
        <v>24</v>
      </c>
      <c r="AL8">
        <v>4</v>
      </c>
    </row>
    <row r="9" spans="1:38" x14ac:dyDescent="0.35">
      <c r="A9" t="s">
        <v>91</v>
      </c>
      <c r="B9">
        <v>319152.16330000007</v>
      </c>
      <c r="C9">
        <v>6400297.2861000001</v>
      </c>
      <c r="D9">
        <v>1879008</v>
      </c>
      <c r="E9" t="s">
        <v>92</v>
      </c>
      <c r="F9" t="s">
        <v>93</v>
      </c>
      <c r="G9">
        <v>137374</v>
      </c>
      <c r="H9">
        <v>2</v>
      </c>
      <c r="I9" t="s">
        <v>94</v>
      </c>
      <c r="J9" t="s">
        <v>95</v>
      </c>
      <c r="K9">
        <v>147598</v>
      </c>
      <c r="L9">
        <v>2</v>
      </c>
      <c r="M9">
        <v>10224</v>
      </c>
      <c r="N9" t="s">
        <v>94</v>
      </c>
      <c r="O9" t="s">
        <v>95</v>
      </c>
      <c r="P9">
        <v>147598</v>
      </c>
      <c r="Q9">
        <v>2</v>
      </c>
      <c r="R9">
        <v>10224</v>
      </c>
      <c r="S9">
        <v>1</v>
      </c>
      <c r="T9">
        <v>0.14399999999999999</v>
      </c>
      <c r="U9">
        <v>5</v>
      </c>
      <c r="V9">
        <v>0.99299999999999999</v>
      </c>
      <c r="W9">
        <v>34</v>
      </c>
      <c r="X9">
        <v>29</v>
      </c>
      <c r="Y9">
        <v>0</v>
      </c>
      <c r="Z9">
        <v>38.159444444444453</v>
      </c>
      <c r="AA9">
        <v>40.999444444444443</v>
      </c>
      <c r="AB9" t="s">
        <v>47</v>
      </c>
      <c r="AC9">
        <v>38</v>
      </c>
      <c r="AD9">
        <v>50974</v>
      </c>
      <c r="AE9">
        <v>61198</v>
      </c>
      <c r="AF9">
        <v>34.239677744209473</v>
      </c>
      <c r="AG9">
        <v>0.99299999999999999</v>
      </c>
      <c r="AH9">
        <v>0.14399999999999999</v>
      </c>
      <c r="AI9">
        <v>1</v>
      </c>
      <c r="AJ9">
        <v>12</v>
      </c>
      <c r="AK9">
        <v>19</v>
      </c>
      <c r="AL9">
        <v>7</v>
      </c>
    </row>
    <row r="10" spans="1:38" x14ac:dyDescent="0.35">
      <c r="A10" t="s">
        <v>96</v>
      </c>
      <c r="B10">
        <v>319152.16330000007</v>
      </c>
      <c r="C10">
        <v>6400297.2861000001</v>
      </c>
      <c r="D10">
        <v>2129185</v>
      </c>
      <c r="E10" t="s">
        <v>97</v>
      </c>
      <c r="F10" t="s">
        <v>98</v>
      </c>
      <c r="G10">
        <v>164075</v>
      </c>
      <c r="H10">
        <v>2</v>
      </c>
      <c r="I10" t="s">
        <v>99</v>
      </c>
      <c r="J10" t="s">
        <v>87</v>
      </c>
      <c r="K10">
        <v>174304</v>
      </c>
      <c r="L10">
        <v>3</v>
      </c>
      <c r="M10">
        <v>10229</v>
      </c>
      <c r="N10" t="s">
        <v>100</v>
      </c>
      <c r="O10" t="s">
        <v>101</v>
      </c>
      <c r="P10">
        <v>202369</v>
      </c>
      <c r="Q10">
        <v>3</v>
      </c>
      <c r="R10">
        <v>38294</v>
      </c>
      <c r="S10">
        <v>0.26700000000000002</v>
      </c>
      <c r="T10">
        <v>0.308</v>
      </c>
      <c r="U10">
        <v>23</v>
      </c>
      <c r="V10">
        <v>1</v>
      </c>
      <c r="W10">
        <v>75</v>
      </c>
      <c r="X10">
        <v>52</v>
      </c>
      <c r="Y10">
        <v>310.71699999999998</v>
      </c>
      <c r="Z10">
        <v>45.576388888888893</v>
      </c>
      <c r="AA10">
        <v>48.417777777777772</v>
      </c>
      <c r="AB10" t="s">
        <v>90</v>
      </c>
      <c r="AC10">
        <v>45</v>
      </c>
      <c r="AD10">
        <v>77675</v>
      </c>
      <c r="AE10">
        <v>86214</v>
      </c>
      <c r="AF10">
        <v>75</v>
      </c>
      <c r="AG10">
        <v>1</v>
      </c>
      <c r="AH10">
        <v>0.308</v>
      </c>
      <c r="AI10">
        <v>1</v>
      </c>
      <c r="AJ10">
        <v>20</v>
      </c>
      <c r="AK10">
        <v>24</v>
      </c>
      <c r="AL10">
        <v>4</v>
      </c>
    </row>
    <row r="11" spans="1:38" x14ac:dyDescent="0.35">
      <c r="A11" t="s">
        <v>102</v>
      </c>
      <c r="B11">
        <v>319152.16330000007</v>
      </c>
      <c r="C11">
        <v>6400297.2861000001</v>
      </c>
      <c r="D11">
        <v>9513848</v>
      </c>
      <c r="E11" t="s">
        <v>103</v>
      </c>
      <c r="F11" t="s">
        <v>104</v>
      </c>
      <c r="G11">
        <v>116414</v>
      </c>
      <c r="H11">
        <v>2</v>
      </c>
      <c r="I11" t="s">
        <v>105</v>
      </c>
      <c r="J11" t="s">
        <v>106</v>
      </c>
      <c r="K11">
        <v>126644</v>
      </c>
      <c r="L11">
        <v>2</v>
      </c>
      <c r="M11">
        <v>10230</v>
      </c>
      <c r="N11" t="s">
        <v>107</v>
      </c>
      <c r="O11" t="s">
        <v>108</v>
      </c>
      <c r="P11">
        <v>141612</v>
      </c>
      <c r="Q11">
        <v>2</v>
      </c>
      <c r="R11">
        <v>25198</v>
      </c>
      <c r="S11">
        <v>0.40600000000000003</v>
      </c>
      <c r="T11">
        <v>0.57499999999999996</v>
      </c>
      <c r="U11">
        <v>35</v>
      </c>
      <c r="V11">
        <v>1</v>
      </c>
      <c r="W11">
        <v>60</v>
      </c>
      <c r="X11">
        <v>25</v>
      </c>
      <c r="Y11">
        <v>0</v>
      </c>
      <c r="Z11">
        <v>32.337222222222223</v>
      </c>
      <c r="AA11">
        <v>35.178888888888878</v>
      </c>
      <c r="AB11" t="s">
        <v>47</v>
      </c>
      <c r="AC11">
        <v>32</v>
      </c>
      <c r="AD11">
        <v>30014</v>
      </c>
      <c r="AE11">
        <v>40244</v>
      </c>
      <c r="AF11">
        <v>60</v>
      </c>
      <c r="AG11">
        <v>1</v>
      </c>
      <c r="AH11">
        <v>0.57499999999999996</v>
      </c>
      <c r="AI11">
        <v>1</v>
      </c>
      <c r="AJ11">
        <v>6</v>
      </c>
      <c r="AK11">
        <v>13</v>
      </c>
      <c r="AL11">
        <v>7</v>
      </c>
    </row>
    <row r="12" spans="1:38" x14ac:dyDescent="0.35">
      <c r="A12" t="s">
        <v>109</v>
      </c>
      <c r="B12">
        <v>319152.16330000007</v>
      </c>
      <c r="C12">
        <v>6400297.2861000001</v>
      </c>
      <c r="D12">
        <v>4771738</v>
      </c>
      <c r="E12" t="s">
        <v>110</v>
      </c>
      <c r="F12" t="s">
        <v>111</v>
      </c>
      <c r="G12">
        <v>111468</v>
      </c>
      <c r="H12">
        <v>2</v>
      </c>
      <c r="I12" t="s">
        <v>112</v>
      </c>
      <c r="J12" t="s">
        <v>113</v>
      </c>
      <c r="K12">
        <v>121724</v>
      </c>
      <c r="L12">
        <v>2</v>
      </c>
      <c r="M12">
        <v>10256</v>
      </c>
      <c r="N12" t="s">
        <v>114</v>
      </c>
      <c r="O12" t="s">
        <v>115</v>
      </c>
      <c r="P12">
        <v>143819</v>
      </c>
      <c r="Q12">
        <v>2</v>
      </c>
      <c r="R12">
        <v>32351</v>
      </c>
      <c r="S12">
        <v>0.317</v>
      </c>
      <c r="T12">
        <v>0.374</v>
      </c>
      <c r="U12">
        <v>16</v>
      </c>
      <c r="V12">
        <v>1</v>
      </c>
      <c r="W12">
        <v>42</v>
      </c>
      <c r="X12">
        <v>26</v>
      </c>
      <c r="Y12">
        <v>0</v>
      </c>
      <c r="Z12">
        <v>30.963333333333331</v>
      </c>
      <c r="AA12">
        <v>33.812222222222218</v>
      </c>
      <c r="AB12" t="s">
        <v>47</v>
      </c>
      <c r="AC12">
        <v>30</v>
      </c>
      <c r="AD12">
        <v>25068</v>
      </c>
      <c r="AE12">
        <v>35324</v>
      </c>
      <c r="AF12">
        <v>42</v>
      </c>
      <c r="AG12">
        <v>1</v>
      </c>
      <c r="AH12">
        <v>0.374</v>
      </c>
      <c r="AI12">
        <v>1</v>
      </c>
      <c r="AJ12">
        <v>5</v>
      </c>
      <c r="AK12">
        <v>12</v>
      </c>
      <c r="AL12">
        <v>7</v>
      </c>
    </row>
    <row r="13" spans="1:38" x14ac:dyDescent="0.35">
      <c r="A13" t="s">
        <v>116</v>
      </c>
      <c r="B13">
        <v>319152.16330000007</v>
      </c>
      <c r="C13">
        <v>6400297.2861000001</v>
      </c>
      <c r="D13">
        <v>5412813</v>
      </c>
      <c r="E13" t="s">
        <v>117</v>
      </c>
      <c r="F13" t="s">
        <v>118</v>
      </c>
      <c r="G13">
        <v>120250</v>
      </c>
      <c r="H13">
        <v>2</v>
      </c>
      <c r="I13" t="s">
        <v>119</v>
      </c>
      <c r="J13" t="s">
        <v>120</v>
      </c>
      <c r="K13">
        <v>130509</v>
      </c>
      <c r="L13">
        <v>2</v>
      </c>
      <c r="M13">
        <v>10259</v>
      </c>
      <c r="N13" t="s">
        <v>121</v>
      </c>
      <c r="O13" t="s">
        <v>122</v>
      </c>
      <c r="P13">
        <v>144989</v>
      </c>
      <c r="Q13">
        <v>2</v>
      </c>
      <c r="R13">
        <v>24739</v>
      </c>
      <c r="S13">
        <v>0.41499999999999998</v>
      </c>
      <c r="T13">
        <v>0.51600000000000001</v>
      </c>
      <c r="U13">
        <v>27</v>
      </c>
      <c r="V13">
        <v>1</v>
      </c>
      <c r="W13">
        <v>52</v>
      </c>
      <c r="X13">
        <v>25</v>
      </c>
      <c r="Y13">
        <v>0</v>
      </c>
      <c r="Z13">
        <v>33.402777777777779</v>
      </c>
      <c r="AA13">
        <v>36.252499999999998</v>
      </c>
      <c r="AB13" t="s">
        <v>47</v>
      </c>
      <c r="AC13">
        <v>33</v>
      </c>
      <c r="AD13">
        <v>33850</v>
      </c>
      <c r="AE13">
        <v>44109</v>
      </c>
      <c r="AF13">
        <v>52</v>
      </c>
      <c r="AG13">
        <v>1</v>
      </c>
      <c r="AH13">
        <v>0.51600000000000001</v>
      </c>
      <c r="AI13">
        <v>1</v>
      </c>
      <c r="AJ13">
        <v>7</v>
      </c>
      <c r="AK13">
        <v>14</v>
      </c>
      <c r="AL13">
        <v>7</v>
      </c>
    </row>
    <row r="14" spans="1:38" x14ac:dyDescent="0.35">
      <c r="A14" t="s">
        <v>123</v>
      </c>
      <c r="B14">
        <v>319152.16330000007</v>
      </c>
      <c r="C14">
        <v>6400297.2861000001</v>
      </c>
      <c r="D14">
        <v>2129003</v>
      </c>
      <c r="E14" t="s">
        <v>124</v>
      </c>
      <c r="F14" t="s">
        <v>125</v>
      </c>
      <c r="G14">
        <v>110347</v>
      </c>
      <c r="H14">
        <v>2</v>
      </c>
      <c r="I14" t="s">
        <v>126</v>
      </c>
      <c r="J14" t="s">
        <v>127</v>
      </c>
      <c r="K14">
        <v>120624</v>
      </c>
      <c r="L14">
        <v>2</v>
      </c>
      <c r="M14">
        <v>10277</v>
      </c>
      <c r="N14" t="s">
        <v>128</v>
      </c>
      <c r="O14" t="s">
        <v>129</v>
      </c>
      <c r="P14">
        <v>146660</v>
      </c>
      <c r="Q14">
        <v>2</v>
      </c>
      <c r="R14">
        <v>36313</v>
      </c>
      <c r="S14">
        <v>0.28299999999999997</v>
      </c>
      <c r="T14">
        <v>0.51500000000000001</v>
      </c>
      <c r="U14">
        <v>27</v>
      </c>
      <c r="V14">
        <v>1</v>
      </c>
      <c r="W14">
        <v>52</v>
      </c>
      <c r="X14">
        <v>25</v>
      </c>
      <c r="Y14">
        <v>0</v>
      </c>
      <c r="Z14">
        <v>30.651944444444439</v>
      </c>
      <c r="AA14">
        <v>33.506666666666668</v>
      </c>
      <c r="AB14" t="s">
        <v>47</v>
      </c>
      <c r="AC14">
        <v>30</v>
      </c>
      <c r="AD14">
        <v>23947</v>
      </c>
      <c r="AE14">
        <v>34224</v>
      </c>
      <c r="AF14">
        <v>52</v>
      </c>
      <c r="AG14">
        <v>1</v>
      </c>
      <c r="AH14">
        <v>0.51500000000000001</v>
      </c>
      <c r="AI14">
        <v>1</v>
      </c>
      <c r="AJ14">
        <v>5</v>
      </c>
      <c r="AK14">
        <v>12</v>
      </c>
      <c r="AL14">
        <v>7</v>
      </c>
    </row>
    <row r="15" spans="1:38" x14ac:dyDescent="0.35">
      <c r="A15" t="s">
        <v>130</v>
      </c>
      <c r="B15">
        <v>319152.16330000007</v>
      </c>
      <c r="C15">
        <v>6400297.2861000001</v>
      </c>
      <c r="D15">
        <v>9447416</v>
      </c>
      <c r="E15" t="s">
        <v>131</v>
      </c>
      <c r="F15" t="s">
        <v>132</v>
      </c>
      <c r="G15">
        <v>117985</v>
      </c>
      <c r="H15">
        <v>2</v>
      </c>
      <c r="I15" t="s">
        <v>133</v>
      </c>
      <c r="J15" t="s">
        <v>134</v>
      </c>
      <c r="K15">
        <v>128269</v>
      </c>
      <c r="L15">
        <v>2</v>
      </c>
      <c r="M15">
        <v>10284</v>
      </c>
      <c r="N15" t="s">
        <v>135</v>
      </c>
      <c r="O15" t="s">
        <v>136</v>
      </c>
      <c r="P15">
        <v>144341</v>
      </c>
      <c r="Q15">
        <v>2</v>
      </c>
      <c r="R15">
        <v>26356</v>
      </c>
      <c r="S15">
        <v>0.39</v>
      </c>
      <c r="T15">
        <v>0.23799999999999999</v>
      </c>
      <c r="U15">
        <v>8</v>
      </c>
      <c r="V15">
        <v>1</v>
      </c>
      <c r="W15">
        <v>34</v>
      </c>
      <c r="X15">
        <v>26</v>
      </c>
      <c r="Y15">
        <v>0</v>
      </c>
      <c r="Z15">
        <v>32.773611111111109</v>
      </c>
      <c r="AA15">
        <v>35.630277777777778</v>
      </c>
      <c r="AB15" t="s">
        <v>47</v>
      </c>
      <c r="AC15">
        <v>32</v>
      </c>
      <c r="AD15">
        <v>31585</v>
      </c>
      <c r="AE15">
        <v>41869</v>
      </c>
      <c r="AF15">
        <v>34</v>
      </c>
      <c r="AG15">
        <v>1</v>
      </c>
      <c r="AH15">
        <v>0.23799999999999999</v>
      </c>
      <c r="AI15">
        <v>1</v>
      </c>
      <c r="AJ15">
        <v>7</v>
      </c>
      <c r="AK15">
        <v>14</v>
      </c>
      <c r="AL15">
        <v>7</v>
      </c>
    </row>
    <row r="16" spans="1:38" x14ac:dyDescent="0.35">
      <c r="A16" t="s">
        <v>137</v>
      </c>
      <c r="B16">
        <v>319152.16330000007</v>
      </c>
      <c r="C16">
        <v>6400297.2861000001</v>
      </c>
      <c r="D16">
        <v>10050104</v>
      </c>
      <c r="E16" t="s">
        <v>138</v>
      </c>
      <c r="F16" t="s">
        <v>139</v>
      </c>
      <c r="G16">
        <v>119991</v>
      </c>
      <c r="H16">
        <v>2</v>
      </c>
      <c r="I16" t="s">
        <v>140</v>
      </c>
      <c r="J16" t="s">
        <v>141</v>
      </c>
      <c r="K16">
        <v>130284</v>
      </c>
      <c r="L16">
        <v>2</v>
      </c>
      <c r="M16">
        <v>10293</v>
      </c>
      <c r="N16" t="s">
        <v>142</v>
      </c>
      <c r="O16" t="s">
        <v>143</v>
      </c>
      <c r="P16">
        <v>152094</v>
      </c>
      <c r="Q16">
        <v>2</v>
      </c>
      <c r="R16">
        <v>32103</v>
      </c>
      <c r="S16">
        <v>0.32100000000000001</v>
      </c>
      <c r="T16">
        <v>0.372</v>
      </c>
      <c r="U16">
        <v>16</v>
      </c>
      <c r="V16">
        <v>1</v>
      </c>
      <c r="W16">
        <v>42</v>
      </c>
      <c r="X16">
        <v>26</v>
      </c>
      <c r="Y16">
        <v>0</v>
      </c>
      <c r="Z16">
        <v>33.330833333333338</v>
      </c>
      <c r="AA16">
        <v>36.19</v>
      </c>
      <c r="AB16" t="s">
        <v>47</v>
      </c>
      <c r="AC16">
        <v>33</v>
      </c>
      <c r="AD16">
        <v>33591</v>
      </c>
      <c r="AE16">
        <v>43884</v>
      </c>
      <c r="AF16">
        <v>42</v>
      </c>
      <c r="AG16">
        <v>1</v>
      </c>
      <c r="AH16">
        <v>0.372</v>
      </c>
      <c r="AI16">
        <v>1</v>
      </c>
      <c r="AJ16">
        <v>7</v>
      </c>
      <c r="AK16">
        <v>14</v>
      </c>
      <c r="AL16">
        <v>7</v>
      </c>
    </row>
    <row r="17" spans="1:38" x14ac:dyDescent="0.35">
      <c r="A17" t="s">
        <v>144</v>
      </c>
      <c r="B17">
        <v>319152.16330000007</v>
      </c>
      <c r="C17">
        <v>6400297.2861000001</v>
      </c>
      <c r="D17">
        <v>2325525</v>
      </c>
      <c r="E17" t="s">
        <v>145</v>
      </c>
      <c r="F17" t="s">
        <v>146</v>
      </c>
      <c r="G17">
        <v>112693</v>
      </c>
      <c r="H17">
        <v>2</v>
      </c>
      <c r="I17" t="s">
        <v>147</v>
      </c>
      <c r="J17" t="s">
        <v>148</v>
      </c>
      <c r="K17">
        <v>122989</v>
      </c>
      <c r="L17">
        <v>2</v>
      </c>
      <c r="M17">
        <v>10296</v>
      </c>
      <c r="N17" t="s">
        <v>149</v>
      </c>
      <c r="O17" t="s">
        <v>150</v>
      </c>
      <c r="P17">
        <v>145578</v>
      </c>
      <c r="Q17">
        <v>2</v>
      </c>
      <c r="R17">
        <v>32885</v>
      </c>
      <c r="S17">
        <v>0.313</v>
      </c>
      <c r="T17">
        <v>0.51400000000000001</v>
      </c>
      <c r="U17">
        <v>27</v>
      </c>
      <c r="V17">
        <v>1</v>
      </c>
      <c r="W17">
        <v>52</v>
      </c>
      <c r="X17">
        <v>25</v>
      </c>
      <c r="Y17">
        <v>0</v>
      </c>
      <c r="Z17">
        <v>31.30361111111112</v>
      </c>
      <c r="AA17">
        <v>34.163611111111109</v>
      </c>
      <c r="AB17" t="s">
        <v>47</v>
      </c>
      <c r="AC17">
        <v>31</v>
      </c>
      <c r="AD17">
        <v>26293</v>
      </c>
      <c r="AE17">
        <v>36589</v>
      </c>
      <c r="AF17">
        <v>52</v>
      </c>
      <c r="AG17">
        <v>1</v>
      </c>
      <c r="AH17">
        <v>0.51400000000000001</v>
      </c>
      <c r="AI17">
        <v>1</v>
      </c>
      <c r="AJ17">
        <v>5</v>
      </c>
      <c r="AK17">
        <v>12</v>
      </c>
      <c r="AL17">
        <v>7</v>
      </c>
    </row>
    <row r="18" spans="1:38" x14ac:dyDescent="0.35">
      <c r="A18" t="s">
        <v>151</v>
      </c>
      <c r="B18">
        <v>315187.31910000002</v>
      </c>
      <c r="C18">
        <v>6402362.2586000003</v>
      </c>
      <c r="D18">
        <v>9488749</v>
      </c>
      <c r="E18" t="s">
        <v>152</v>
      </c>
      <c r="F18" t="s">
        <v>153</v>
      </c>
      <c r="G18">
        <v>118315</v>
      </c>
      <c r="H18">
        <v>2</v>
      </c>
      <c r="I18" t="s">
        <v>154</v>
      </c>
      <c r="J18" t="s">
        <v>155</v>
      </c>
      <c r="K18">
        <v>128624</v>
      </c>
      <c r="L18">
        <v>2</v>
      </c>
      <c r="M18">
        <v>10309</v>
      </c>
      <c r="N18" t="s">
        <v>156</v>
      </c>
      <c r="O18" t="s">
        <v>157</v>
      </c>
      <c r="P18">
        <v>147075</v>
      </c>
      <c r="Q18">
        <v>2</v>
      </c>
      <c r="R18">
        <v>28760</v>
      </c>
      <c r="S18">
        <v>0.35799999999999998</v>
      </c>
      <c r="T18">
        <v>0.23599999999999999</v>
      </c>
      <c r="U18">
        <v>8</v>
      </c>
      <c r="V18">
        <v>1</v>
      </c>
      <c r="W18">
        <v>34</v>
      </c>
      <c r="X18">
        <v>26</v>
      </c>
      <c r="Y18">
        <v>0</v>
      </c>
      <c r="Z18">
        <v>32.865277777777777</v>
      </c>
      <c r="AA18">
        <v>35.728888888888889</v>
      </c>
      <c r="AB18" t="s">
        <v>47</v>
      </c>
      <c r="AC18">
        <v>32</v>
      </c>
      <c r="AD18">
        <v>31915</v>
      </c>
      <c r="AE18">
        <v>42224</v>
      </c>
      <c r="AF18">
        <v>34</v>
      </c>
      <c r="AG18">
        <v>1</v>
      </c>
      <c r="AH18">
        <v>0.23599999999999999</v>
      </c>
      <c r="AI18">
        <v>1</v>
      </c>
      <c r="AJ18">
        <v>7</v>
      </c>
      <c r="AK18">
        <v>14</v>
      </c>
      <c r="AL18">
        <v>7</v>
      </c>
    </row>
    <row r="19" spans="1:38" x14ac:dyDescent="0.35">
      <c r="A19" t="s">
        <v>158</v>
      </c>
      <c r="B19">
        <v>315187.31910000002</v>
      </c>
      <c r="C19">
        <v>6402362.2586000003</v>
      </c>
      <c r="D19">
        <v>2002317</v>
      </c>
      <c r="E19" t="s">
        <v>159</v>
      </c>
      <c r="F19" t="s">
        <v>160</v>
      </c>
      <c r="G19">
        <v>107731</v>
      </c>
      <c r="H19">
        <v>2</v>
      </c>
      <c r="I19" t="s">
        <v>161</v>
      </c>
      <c r="J19" t="s">
        <v>162</v>
      </c>
      <c r="K19">
        <v>118059</v>
      </c>
      <c r="L19">
        <v>2</v>
      </c>
      <c r="M19">
        <v>10328</v>
      </c>
      <c r="N19" t="s">
        <v>163</v>
      </c>
      <c r="O19" t="s">
        <v>164</v>
      </c>
      <c r="P19">
        <v>143380</v>
      </c>
      <c r="Q19">
        <v>2</v>
      </c>
      <c r="R19">
        <v>35649</v>
      </c>
      <c r="S19">
        <v>0.28999999999999998</v>
      </c>
      <c r="T19">
        <v>0.63100000000000001</v>
      </c>
      <c r="U19">
        <v>47</v>
      </c>
      <c r="V19">
        <v>1</v>
      </c>
      <c r="W19">
        <v>75</v>
      </c>
      <c r="X19">
        <v>28</v>
      </c>
      <c r="Y19">
        <v>0</v>
      </c>
      <c r="Z19">
        <v>29.925277777777779</v>
      </c>
      <c r="AA19">
        <v>32.794166666666662</v>
      </c>
      <c r="AB19" t="s">
        <v>47</v>
      </c>
      <c r="AC19">
        <v>29</v>
      </c>
      <c r="AD19">
        <v>21331</v>
      </c>
      <c r="AE19">
        <v>31659</v>
      </c>
      <c r="AF19">
        <v>75</v>
      </c>
      <c r="AG19">
        <v>1</v>
      </c>
      <c r="AH19">
        <v>0.63100000000000001</v>
      </c>
      <c r="AI19">
        <v>1</v>
      </c>
      <c r="AJ19">
        <v>4</v>
      </c>
      <c r="AK19">
        <v>11</v>
      </c>
      <c r="AL19">
        <v>7</v>
      </c>
    </row>
    <row r="20" spans="1:38" x14ac:dyDescent="0.35">
      <c r="A20" t="s">
        <v>165</v>
      </c>
      <c r="B20">
        <v>315187.31910000002</v>
      </c>
      <c r="C20">
        <v>6402362.2586000003</v>
      </c>
      <c r="D20">
        <v>9534794</v>
      </c>
      <c r="E20" t="s">
        <v>166</v>
      </c>
      <c r="F20" t="s">
        <v>167</v>
      </c>
      <c r="G20">
        <v>118518</v>
      </c>
      <c r="H20">
        <v>2</v>
      </c>
      <c r="I20" t="s">
        <v>168</v>
      </c>
      <c r="J20" t="s">
        <v>169</v>
      </c>
      <c r="K20">
        <v>128869</v>
      </c>
      <c r="L20">
        <v>2</v>
      </c>
      <c r="M20">
        <v>10351</v>
      </c>
      <c r="N20" t="s">
        <v>170</v>
      </c>
      <c r="O20" t="s">
        <v>171</v>
      </c>
      <c r="P20">
        <v>144324</v>
      </c>
      <c r="Q20">
        <v>2</v>
      </c>
      <c r="R20">
        <v>25806</v>
      </c>
      <c r="S20">
        <v>0.40100000000000002</v>
      </c>
      <c r="T20">
        <v>0.63</v>
      </c>
      <c r="U20">
        <v>47</v>
      </c>
      <c r="V20">
        <v>1</v>
      </c>
      <c r="W20">
        <v>75</v>
      </c>
      <c r="X20">
        <v>28</v>
      </c>
      <c r="Y20">
        <v>0</v>
      </c>
      <c r="Z20">
        <v>32.921666666666667</v>
      </c>
      <c r="AA20">
        <v>35.796944444444442</v>
      </c>
      <c r="AB20" t="s">
        <v>47</v>
      </c>
      <c r="AC20">
        <v>32</v>
      </c>
      <c r="AD20">
        <v>32118</v>
      </c>
      <c r="AE20">
        <v>42469</v>
      </c>
      <c r="AF20">
        <v>75</v>
      </c>
      <c r="AG20">
        <v>1</v>
      </c>
      <c r="AH20">
        <v>0.63</v>
      </c>
      <c r="AI20">
        <v>1</v>
      </c>
      <c r="AJ20">
        <v>7</v>
      </c>
      <c r="AK20">
        <v>14</v>
      </c>
      <c r="AL20">
        <v>7</v>
      </c>
    </row>
    <row r="21" spans="1:38" x14ac:dyDescent="0.35">
      <c r="A21" t="s">
        <v>172</v>
      </c>
      <c r="B21">
        <v>315187.31910000002</v>
      </c>
      <c r="C21">
        <v>6402362.2586000003</v>
      </c>
      <c r="D21">
        <v>9458980</v>
      </c>
      <c r="E21" t="s">
        <v>173</v>
      </c>
      <c r="F21" t="s">
        <v>174</v>
      </c>
      <c r="G21">
        <v>118958</v>
      </c>
      <c r="H21">
        <v>2</v>
      </c>
      <c r="I21" t="s">
        <v>175</v>
      </c>
      <c r="J21" t="s">
        <v>176</v>
      </c>
      <c r="K21">
        <v>129309</v>
      </c>
      <c r="L21">
        <v>2</v>
      </c>
      <c r="M21">
        <v>10351</v>
      </c>
      <c r="N21" t="s">
        <v>177</v>
      </c>
      <c r="O21" t="s">
        <v>178</v>
      </c>
      <c r="P21">
        <v>154258</v>
      </c>
      <c r="Q21">
        <v>2</v>
      </c>
      <c r="R21">
        <v>35300</v>
      </c>
      <c r="S21">
        <v>0.29299999999999998</v>
      </c>
      <c r="T21">
        <v>0.56899999999999995</v>
      </c>
      <c r="U21">
        <v>34</v>
      </c>
      <c r="V21">
        <v>1</v>
      </c>
      <c r="W21">
        <v>60</v>
      </c>
      <c r="X21">
        <v>26</v>
      </c>
      <c r="Y21">
        <v>0</v>
      </c>
      <c r="Z21">
        <v>33.043888888888887</v>
      </c>
      <c r="AA21">
        <v>35.919166666666662</v>
      </c>
      <c r="AB21" t="s">
        <v>47</v>
      </c>
      <c r="AC21">
        <v>33</v>
      </c>
      <c r="AD21">
        <v>32558</v>
      </c>
      <c r="AE21">
        <v>42909</v>
      </c>
      <c r="AF21">
        <v>60</v>
      </c>
      <c r="AG21">
        <v>1</v>
      </c>
      <c r="AH21">
        <v>0.56899999999999995</v>
      </c>
      <c r="AI21">
        <v>1</v>
      </c>
      <c r="AJ21">
        <v>7</v>
      </c>
      <c r="AK21">
        <v>14</v>
      </c>
      <c r="AL21">
        <v>7</v>
      </c>
    </row>
    <row r="22" spans="1:38" x14ac:dyDescent="0.35">
      <c r="A22" t="s">
        <v>179</v>
      </c>
      <c r="B22">
        <v>315187.31910000002</v>
      </c>
      <c r="C22">
        <v>6402362.2586000003</v>
      </c>
      <c r="D22">
        <v>4792786</v>
      </c>
      <c r="E22" t="s">
        <v>180</v>
      </c>
      <c r="F22" t="s">
        <v>181</v>
      </c>
      <c r="G22">
        <v>114155</v>
      </c>
      <c r="H22">
        <v>2</v>
      </c>
      <c r="I22" t="s">
        <v>182</v>
      </c>
      <c r="J22" t="s">
        <v>183</v>
      </c>
      <c r="K22">
        <v>124514</v>
      </c>
      <c r="L22">
        <v>2</v>
      </c>
      <c r="M22">
        <v>10359</v>
      </c>
      <c r="N22" t="s">
        <v>184</v>
      </c>
      <c r="O22" t="s">
        <v>185</v>
      </c>
      <c r="P22">
        <v>146901</v>
      </c>
      <c r="Q22">
        <v>2</v>
      </c>
      <c r="R22">
        <v>32746</v>
      </c>
      <c r="S22">
        <v>0.316</v>
      </c>
      <c r="T22">
        <v>0.36699999999999999</v>
      </c>
      <c r="U22">
        <v>15</v>
      </c>
      <c r="V22">
        <v>1</v>
      </c>
      <c r="W22">
        <v>42</v>
      </c>
      <c r="X22">
        <v>27</v>
      </c>
      <c r="Y22">
        <v>0</v>
      </c>
      <c r="Z22">
        <v>31.709722222222229</v>
      </c>
      <c r="AA22">
        <v>34.587222222222223</v>
      </c>
      <c r="AB22" t="s">
        <v>47</v>
      </c>
      <c r="AC22">
        <v>31</v>
      </c>
      <c r="AD22">
        <v>27755</v>
      </c>
      <c r="AE22">
        <v>38114</v>
      </c>
      <c r="AF22">
        <v>42</v>
      </c>
      <c r="AG22">
        <v>1</v>
      </c>
      <c r="AH22">
        <v>0.36699999999999999</v>
      </c>
      <c r="AI22">
        <v>1</v>
      </c>
      <c r="AJ22">
        <v>6</v>
      </c>
      <c r="AK22">
        <v>13</v>
      </c>
      <c r="AL22">
        <v>7</v>
      </c>
    </row>
    <row r="23" spans="1:38" x14ac:dyDescent="0.35">
      <c r="A23" t="s">
        <v>186</v>
      </c>
      <c r="B23">
        <v>315187.31910000002</v>
      </c>
      <c r="C23">
        <v>6402362.2586000003</v>
      </c>
      <c r="D23">
        <v>2080694</v>
      </c>
      <c r="E23" t="s">
        <v>187</v>
      </c>
      <c r="F23" t="s">
        <v>188</v>
      </c>
      <c r="G23">
        <v>115239</v>
      </c>
      <c r="H23">
        <v>2</v>
      </c>
      <c r="I23" t="s">
        <v>189</v>
      </c>
      <c r="J23" t="s">
        <v>190</v>
      </c>
      <c r="K23">
        <v>125609</v>
      </c>
      <c r="L23">
        <v>2</v>
      </c>
      <c r="M23">
        <v>10370</v>
      </c>
      <c r="N23" t="s">
        <v>191</v>
      </c>
      <c r="O23" t="s">
        <v>192</v>
      </c>
      <c r="P23">
        <v>150273</v>
      </c>
      <c r="Q23">
        <v>2</v>
      </c>
      <c r="R23">
        <v>35034</v>
      </c>
      <c r="S23">
        <v>0.29599999999999999</v>
      </c>
      <c r="T23">
        <v>0.629</v>
      </c>
      <c r="U23">
        <v>47</v>
      </c>
      <c r="V23">
        <v>1</v>
      </c>
      <c r="W23">
        <v>75</v>
      </c>
      <c r="X23">
        <v>28</v>
      </c>
      <c r="Y23">
        <v>0</v>
      </c>
      <c r="Z23">
        <v>32.010833333333331</v>
      </c>
      <c r="AA23">
        <v>34.891388888888891</v>
      </c>
      <c r="AB23" t="s">
        <v>47</v>
      </c>
      <c r="AC23">
        <v>32</v>
      </c>
      <c r="AD23">
        <v>28839</v>
      </c>
      <c r="AE23">
        <v>39209</v>
      </c>
      <c r="AF23">
        <v>75</v>
      </c>
      <c r="AG23">
        <v>1</v>
      </c>
      <c r="AH23">
        <v>0.629</v>
      </c>
      <c r="AI23">
        <v>1</v>
      </c>
      <c r="AJ23">
        <v>6</v>
      </c>
      <c r="AK23">
        <v>13</v>
      </c>
      <c r="AL23">
        <v>7</v>
      </c>
    </row>
    <row r="24" spans="1:38" x14ac:dyDescent="0.35">
      <c r="A24" t="s">
        <v>193</v>
      </c>
      <c r="B24">
        <v>315187.31910000002</v>
      </c>
      <c r="C24">
        <v>6402362.2586000003</v>
      </c>
      <c r="D24">
        <v>1942028</v>
      </c>
      <c r="E24" t="s">
        <v>194</v>
      </c>
      <c r="F24" t="s">
        <v>195</v>
      </c>
      <c r="G24">
        <v>120665</v>
      </c>
      <c r="H24">
        <v>2</v>
      </c>
      <c r="I24" t="s">
        <v>196</v>
      </c>
      <c r="J24" t="s">
        <v>197</v>
      </c>
      <c r="K24">
        <v>131044</v>
      </c>
      <c r="L24">
        <v>2</v>
      </c>
      <c r="M24">
        <v>10379</v>
      </c>
      <c r="N24" t="s">
        <v>198</v>
      </c>
      <c r="O24" t="s">
        <v>199</v>
      </c>
      <c r="P24">
        <v>151003</v>
      </c>
      <c r="Q24">
        <v>2</v>
      </c>
      <c r="R24">
        <v>30338</v>
      </c>
      <c r="S24">
        <v>0.34200000000000003</v>
      </c>
      <c r="T24">
        <v>0.50900000000000001</v>
      </c>
      <c r="U24">
        <v>26</v>
      </c>
      <c r="V24">
        <v>1</v>
      </c>
      <c r="W24">
        <v>52</v>
      </c>
      <c r="X24">
        <v>26</v>
      </c>
      <c r="Y24">
        <v>0</v>
      </c>
      <c r="Z24">
        <v>33.518055555555563</v>
      </c>
      <c r="AA24">
        <v>36.401111111111113</v>
      </c>
      <c r="AB24" t="s">
        <v>47</v>
      </c>
      <c r="AC24">
        <v>33</v>
      </c>
      <c r="AD24">
        <v>34265</v>
      </c>
      <c r="AE24">
        <v>44644</v>
      </c>
      <c r="AF24">
        <v>52</v>
      </c>
      <c r="AG24">
        <v>1</v>
      </c>
      <c r="AH24">
        <v>0.50900000000000001</v>
      </c>
      <c r="AI24">
        <v>1</v>
      </c>
      <c r="AJ24">
        <v>8</v>
      </c>
      <c r="AK24">
        <v>14</v>
      </c>
      <c r="AL24">
        <v>6</v>
      </c>
    </row>
    <row r="25" spans="1:38" x14ac:dyDescent="0.35">
      <c r="A25" t="s">
        <v>200</v>
      </c>
      <c r="B25">
        <v>315187.31910000002</v>
      </c>
      <c r="C25">
        <v>6402362.2586000003</v>
      </c>
      <c r="D25">
        <v>4921947</v>
      </c>
      <c r="E25" t="s">
        <v>201</v>
      </c>
      <c r="F25" t="s">
        <v>202</v>
      </c>
      <c r="G25">
        <v>108458</v>
      </c>
      <c r="H25">
        <v>2</v>
      </c>
      <c r="I25" t="s">
        <v>203</v>
      </c>
      <c r="J25" t="s">
        <v>204</v>
      </c>
      <c r="K25">
        <v>118854</v>
      </c>
      <c r="L25">
        <v>2</v>
      </c>
      <c r="M25">
        <v>10396</v>
      </c>
      <c r="N25" t="s">
        <v>205</v>
      </c>
      <c r="O25" t="s">
        <v>206</v>
      </c>
      <c r="P25">
        <v>138794</v>
      </c>
      <c r="Q25">
        <v>2</v>
      </c>
      <c r="R25">
        <v>30336</v>
      </c>
      <c r="S25">
        <v>0.34300000000000003</v>
      </c>
      <c r="T25">
        <v>0.36399999999999999</v>
      </c>
      <c r="U25">
        <v>15</v>
      </c>
      <c r="V25">
        <v>1</v>
      </c>
      <c r="W25">
        <v>42</v>
      </c>
      <c r="X25">
        <v>27</v>
      </c>
      <c r="Y25">
        <v>0</v>
      </c>
      <c r="Z25">
        <v>30.127222222222219</v>
      </c>
      <c r="AA25">
        <v>33.015000000000001</v>
      </c>
      <c r="AB25" t="s">
        <v>47</v>
      </c>
      <c r="AC25">
        <v>30</v>
      </c>
      <c r="AD25">
        <v>22058</v>
      </c>
      <c r="AE25">
        <v>32454</v>
      </c>
      <c r="AF25">
        <v>42</v>
      </c>
      <c r="AG25">
        <v>1</v>
      </c>
      <c r="AH25">
        <v>0.36399999999999999</v>
      </c>
      <c r="AI25">
        <v>1</v>
      </c>
      <c r="AJ25">
        <v>4</v>
      </c>
      <c r="AK25">
        <v>11</v>
      </c>
      <c r="AL25">
        <v>7</v>
      </c>
    </row>
    <row r="26" spans="1:38" x14ac:dyDescent="0.35">
      <c r="A26" t="s">
        <v>207</v>
      </c>
      <c r="B26">
        <v>315187.31910000002</v>
      </c>
      <c r="C26">
        <v>6402362.2586000003</v>
      </c>
      <c r="D26">
        <v>7465779</v>
      </c>
      <c r="E26" t="s">
        <v>208</v>
      </c>
      <c r="F26" t="s">
        <v>209</v>
      </c>
      <c r="G26">
        <v>112415</v>
      </c>
      <c r="H26">
        <v>2</v>
      </c>
      <c r="I26" t="s">
        <v>210</v>
      </c>
      <c r="J26" t="s">
        <v>211</v>
      </c>
      <c r="K26">
        <v>122824</v>
      </c>
      <c r="L26">
        <v>2</v>
      </c>
      <c r="M26">
        <v>10409</v>
      </c>
      <c r="N26" t="s">
        <v>212</v>
      </c>
      <c r="O26" t="s">
        <v>213</v>
      </c>
      <c r="P26">
        <v>143918</v>
      </c>
      <c r="Q26">
        <v>2</v>
      </c>
      <c r="R26">
        <v>31503</v>
      </c>
      <c r="S26">
        <v>0.33</v>
      </c>
      <c r="T26">
        <v>0.22700000000000001</v>
      </c>
      <c r="U26">
        <v>8</v>
      </c>
      <c r="V26">
        <v>1</v>
      </c>
      <c r="W26">
        <v>34</v>
      </c>
      <c r="X26">
        <v>26</v>
      </c>
      <c r="Y26">
        <v>0</v>
      </c>
      <c r="Z26">
        <v>31.226388888888891</v>
      </c>
      <c r="AA26">
        <v>34.117777777777768</v>
      </c>
      <c r="AB26" t="s">
        <v>47</v>
      </c>
      <c r="AC26">
        <v>31</v>
      </c>
      <c r="AD26">
        <v>26015</v>
      </c>
      <c r="AE26">
        <v>36424</v>
      </c>
      <c r="AF26">
        <v>34</v>
      </c>
      <c r="AG26">
        <v>1</v>
      </c>
      <c r="AH26">
        <v>0.22700000000000001</v>
      </c>
      <c r="AI26">
        <v>1</v>
      </c>
      <c r="AJ26">
        <v>5</v>
      </c>
      <c r="AK26">
        <v>12</v>
      </c>
      <c r="AL26">
        <v>7</v>
      </c>
    </row>
    <row r="27" spans="1:38" x14ac:dyDescent="0.35">
      <c r="A27" t="s">
        <v>214</v>
      </c>
      <c r="B27">
        <v>315187.31910000002</v>
      </c>
      <c r="C27">
        <v>6402362.2586000003</v>
      </c>
      <c r="D27">
        <v>8273860</v>
      </c>
      <c r="E27" t="s">
        <v>215</v>
      </c>
      <c r="F27" t="s">
        <v>216</v>
      </c>
      <c r="G27">
        <v>110078</v>
      </c>
      <c r="H27">
        <v>2</v>
      </c>
      <c r="I27" t="s">
        <v>217</v>
      </c>
      <c r="J27" t="s">
        <v>218</v>
      </c>
      <c r="K27">
        <v>120494</v>
      </c>
      <c r="L27">
        <v>2</v>
      </c>
      <c r="M27">
        <v>10416</v>
      </c>
      <c r="N27" t="s">
        <v>219</v>
      </c>
      <c r="O27" t="s">
        <v>220</v>
      </c>
      <c r="P27">
        <v>143547</v>
      </c>
      <c r="Q27">
        <v>2</v>
      </c>
      <c r="R27">
        <v>33469</v>
      </c>
      <c r="S27">
        <v>0.311</v>
      </c>
      <c r="T27">
        <v>0.56599999999999995</v>
      </c>
      <c r="U27">
        <v>34</v>
      </c>
      <c r="V27">
        <v>1</v>
      </c>
      <c r="W27">
        <v>60</v>
      </c>
      <c r="X27">
        <v>26</v>
      </c>
      <c r="Y27">
        <v>0</v>
      </c>
      <c r="Z27">
        <v>30.577222222222229</v>
      </c>
      <c r="AA27">
        <v>33.470555555555563</v>
      </c>
      <c r="AB27" t="s">
        <v>47</v>
      </c>
      <c r="AC27">
        <v>30</v>
      </c>
      <c r="AD27">
        <v>23678</v>
      </c>
      <c r="AE27">
        <v>34094</v>
      </c>
      <c r="AF27">
        <v>60</v>
      </c>
      <c r="AG27">
        <v>1</v>
      </c>
      <c r="AH27">
        <v>0.56599999999999995</v>
      </c>
      <c r="AI27">
        <v>1</v>
      </c>
      <c r="AJ27">
        <v>5</v>
      </c>
      <c r="AK27">
        <v>11</v>
      </c>
      <c r="AL27">
        <v>6</v>
      </c>
    </row>
    <row r="28" spans="1:38" x14ac:dyDescent="0.35">
      <c r="A28" t="s">
        <v>221</v>
      </c>
      <c r="B28">
        <v>315187.31910000002</v>
      </c>
      <c r="C28">
        <v>6402362.2586000003</v>
      </c>
      <c r="D28">
        <v>4922092</v>
      </c>
      <c r="E28" t="s">
        <v>222</v>
      </c>
      <c r="F28" t="s">
        <v>223</v>
      </c>
      <c r="G28">
        <v>133296</v>
      </c>
      <c r="H28">
        <v>2</v>
      </c>
      <c r="I28" t="s">
        <v>224</v>
      </c>
      <c r="J28" t="s">
        <v>225</v>
      </c>
      <c r="K28">
        <v>143744</v>
      </c>
      <c r="L28">
        <v>2</v>
      </c>
      <c r="M28">
        <v>10448</v>
      </c>
      <c r="N28" t="s">
        <v>224</v>
      </c>
      <c r="O28" t="s">
        <v>225</v>
      </c>
      <c r="P28">
        <v>143744</v>
      </c>
      <c r="Q28">
        <v>2</v>
      </c>
      <c r="R28">
        <v>10448</v>
      </c>
      <c r="S28">
        <v>1</v>
      </c>
      <c r="T28">
        <v>0</v>
      </c>
      <c r="U28">
        <v>0</v>
      </c>
      <c r="V28">
        <v>0.76</v>
      </c>
      <c r="W28">
        <v>32</v>
      </c>
      <c r="X28">
        <v>32</v>
      </c>
      <c r="Y28">
        <v>0</v>
      </c>
      <c r="Z28">
        <v>37.026666666666657</v>
      </c>
      <c r="AA28">
        <v>39.928888888888878</v>
      </c>
      <c r="AB28" t="s">
        <v>47</v>
      </c>
      <c r="AC28">
        <v>37</v>
      </c>
      <c r="AD28">
        <v>46896</v>
      </c>
      <c r="AE28">
        <v>57344</v>
      </c>
      <c r="AF28">
        <v>42.10526315789474</v>
      </c>
      <c r="AG28">
        <v>0.76</v>
      </c>
      <c r="AH28">
        <v>0</v>
      </c>
      <c r="AI28">
        <v>1</v>
      </c>
      <c r="AJ28">
        <v>11</v>
      </c>
      <c r="AK28">
        <v>18</v>
      </c>
      <c r="AL28">
        <v>7</v>
      </c>
    </row>
    <row r="29" spans="1:38" x14ac:dyDescent="0.35">
      <c r="A29" t="s">
        <v>226</v>
      </c>
      <c r="B29">
        <v>315187.31910000002</v>
      </c>
      <c r="C29">
        <v>6402362.2586000003</v>
      </c>
      <c r="D29">
        <v>2037268</v>
      </c>
      <c r="E29" t="s">
        <v>227</v>
      </c>
      <c r="F29" t="s">
        <v>228</v>
      </c>
      <c r="G29">
        <v>114814</v>
      </c>
      <c r="H29">
        <v>2</v>
      </c>
      <c r="I29" t="s">
        <v>229</v>
      </c>
      <c r="J29" t="s">
        <v>230</v>
      </c>
      <c r="K29">
        <v>125284</v>
      </c>
      <c r="L29">
        <v>2</v>
      </c>
      <c r="M29">
        <v>10470</v>
      </c>
      <c r="N29" t="s">
        <v>231</v>
      </c>
      <c r="O29" t="s">
        <v>232</v>
      </c>
      <c r="P29">
        <v>151453</v>
      </c>
      <c r="Q29">
        <v>2</v>
      </c>
      <c r="R29">
        <v>36639</v>
      </c>
      <c r="S29">
        <v>0.28599999999999998</v>
      </c>
      <c r="T29">
        <v>0.35899999999999999</v>
      </c>
      <c r="U29">
        <v>15</v>
      </c>
      <c r="V29">
        <v>1</v>
      </c>
      <c r="W29">
        <v>42</v>
      </c>
      <c r="X29">
        <v>27</v>
      </c>
      <c r="Y29">
        <v>0</v>
      </c>
      <c r="Z29">
        <v>31.892777777777781</v>
      </c>
      <c r="AA29">
        <v>34.801111111111098</v>
      </c>
      <c r="AB29" t="s">
        <v>47</v>
      </c>
      <c r="AC29">
        <v>31</v>
      </c>
      <c r="AD29">
        <v>28414</v>
      </c>
      <c r="AE29">
        <v>38884</v>
      </c>
      <c r="AF29">
        <v>42</v>
      </c>
      <c r="AG29">
        <v>1</v>
      </c>
      <c r="AH29">
        <v>0.35899999999999999</v>
      </c>
      <c r="AI29">
        <v>1</v>
      </c>
      <c r="AJ29">
        <v>6</v>
      </c>
      <c r="AK29">
        <v>13</v>
      </c>
      <c r="AL29">
        <v>7</v>
      </c>
    </row>
    <row r="30" spans="1:38" x14ac:dyDescent="0.35">
      <c r="A30" t="s">
        <v>233</v>
      </c>
      <c r="B30">
        <v>315187.31910000002</v>
      </c>
      <c r="C30">
        <v>6402362.2586000003</v>
      </c>
      <c r="D30">
        <v>2047565</v>
      </c>
      <c r="E30" t="s">
        <v>234</v>
      </c>
      <c r="F30" t="s">
        <v>235</v>
      </c>
      <c r="G30">
        <v>118540</v>
      </c>
      <c r="H30">
        <v>2</v>
      </c>
      <c r="I30" t="s">
        <v>236</v>
      </c>
      <c r="J30" t="s">
        <v>237</v>
      </c>
      <c r="K30">
        <v>129024</v>
      </c>
      <c r="L30">
        <v>2</v>
      </c>
      <c r="M30">
        <v>10484</v>
      </c>
      <c r="N30" t="s">
        <v>238</v>
      </c>
      <c r="O30" t="s">
        <v>239</v>
      </c>
      <c r="P30">
        <v>130706</v>
      </c>
      <c r="Q30">
        <v>2</v>
      </c>
      <c r="R30">
        <v>12166</v>
      </c>
      <c r="S30">
        <v>0.86199999999999999</v>
      </c>
      <c r="T30">
        <v>0.22</v>
      </c>
      <c r="U30">
        <v>7</v>
      </c>
      <c r="V30">
        <v>1</v>
      </c>
      <c r="W30">
        <v>34</v>
      </c>
      <c r="X30">
        <v>27</v>
      </c>
      <c r="Y30">
        <v>0</v>
      </c>
      <c r="Z30">
        <v>32.927777777777777</v>
      </c>
      <c r="AA30">
        <v>35.840000000000003</v>
      </c>
      <c r="AB30" t="s">
        <v>47</v>
      </c>
      <c r="AC30">
        <v>32</v>
      </c>
      <c r="AD30">
        <v>32140</v>
      </c>
      <c r="AE30">
        <v>42624</v>
      </c>
      <c r="AF30">
        <v>34</v>
      </c>
      <c r="AG30">
        <v>1</v>
      </c>
      <c r="AH30">
        <v>0.22</v>
      </c>
      <c r="AI30">
        <v>1</v>
      </c>
      <c r="AJ30">
        <v>7</v>
      </c>
      <c r="AK30">
        <v>14</v>
      </c>
      <c r="AL30">
        <v>7</v>
      </c>
    </row>
    <row r="31" spans="1:38" x14ac:dyDescent="0.35">
      <c r="A31" t="s">
        <v>240</v>
      </c>
      <c r="B31">
        <v>315187.31910000002</v>
      </c>
      <c r="C31">
        <v>6402362.2586000003</v>
      </c>
      <c r="D31">
        <v>7418202</v>
      </c>
      <c r="E31" t="s">
        <v>241</v>
      </c>
      <c r="F31" t="s">
        <v>242</v>
      </c>
      <c r="G31">
        <v>101321</v>
      </c>
      <c r="H31">
        <v>2</v>
      </c>
      <c r="I31" t="s">
        <v>243</v>
      </c>
      <c r="J31" t="s">
        <v>244</v>
      </c>
      <c r="K31">
        <v>111809</v>
      </c>
      <c r="L31">
        <v>2</v>
      </c>
      <c r="M31">
        <v>10488</v>
      </c>
      <c r="N31" t="s">
        <v>245</v>
      </c>
      <c r="O31" t="s">
        <v>246</v>
      </c>
      <c r="P31">
        <v>136514</v>
      </c>
      <c r="Q31">
        <v>2</v>
      </c>
      <c r="R31">
        <v>35193</v>
      </c>
      <c r="S31">
        <v>0.29799999999999999</v>
      </c>
      <c r="T31">
        <v>0.28699999999999998</v>
      </c>
      <c r="U31">
        <v>22</v>
      </c>
      <c r="V31">
        <v>1</v>
      </c>
      <c r="W31">
        <v>75</v>
      </c>
      <c r="X31">
        <v>53</v>
      </c>
      <c r="Y31">
        <v>249.75399999999999</v>
      </c>
      <c r="Z31">
        <v>28.144722222222221</v>
      </c>
      <c r="AA31">
        <v>31.058055555555551</v>
      </c>
      <c r="AB31" t="s">
        <v>90</v>
      </c>
      <c r="AC31">
        <v>28</v>
      </c>
      <c r="AD31">
        <v>14921</v>
      </c>
      <c r="AE31">
        <v>25409</v>
      </c>
      <c r="AF31">
        <v>75</v>
      </c>
      <c r="AG31">
        <v>1</v>
      </c>
      <c r="AH31">
        <v>0.28699999999999998</v>
      </c>
      <c r="AI31">
        <v>1</v>
      </c>
      <c r="AJ31">
        <v>2</v>
      </c>
      <c r="AK31">
        <v>9</v>
      </c>
      <c r="AL31">
        <v>7</v>
      </c>
    </row>
    <row r="32" spans="1:38" x14ac:dyDescent="0.35">
      <c r="A32" t="s">
        <v>247</v>
      </c>
      <c r="B32">
        <v>315187.31910000002</v>
      </c>
      <c r="C32">
        <v>6402362.2586000003</v>
      </c>
      <c r="D32">
        <v>1897937</v>
      </c>
      <c r="E32" t="s">
        <v>248</v>
      </c>
      <c r="F32" t="s">
        <v>249</v>
      </c>
      <c r="G32">
        <v>133099</v>
      </c>
      <c r="H32">
        <v>2</v>
      </c>
      <c r="I32" t="s">
        <v>250</v>
      </c>
      <c r="J32" t="s">
        <v>251</v>
      </c>
      <c r="K32">
        <v>143634</v>
      </c>
      <c r="L32">
        <v>2</v>
      </c>
      <c r="M32">
        <v>10535</v>
      </c>
      <c r="N32" t="s">
        <v>252</v>
      </c>
      <c r="O32" t="s">
        <v>253</v>
      </c>
      <c r="P32">
        <v>145334</v>
      </c>
      <c r="Q32">
        <v>2</v>
      </c>
      <c r="R32">
        <v>12235</v>
      </c>
      <c r="S32">
        <v>0.86099999999999999</v>
      </c>
      <c r="T32">
        <v>0.215</v>
      </c>
      <c r="U32">
        <v>7</v>
      </c>
      <c r="V32">
        <v>1</v>
      </c>
      <c r="W32">
        <v>34</v>
      </c>
      <c r="X32">
        <v>27</v>
      </c>
      <c r="Y32">
        <v>0</v>
      </c>
      <c r="Z32">
        <v>36.971944444444453</v>
      </c>
      <c r="AA32">
        <v>39.898333333333333</v>
      </c>
      <c r="AB32" t="s">
        <v>47</v>
      </c>
      <c r="AC32">
        <v>36</v>
      </c>
      <c r="AD32">
        <v>46699</v>
      </c>
      <c r="AE32">
        <v>57234</v>
      </c>
      <c r="AF32">
        <v>34</v>
      </c>
      <c r="AG32">
        <v>1</v>
      </c>
      <c r="AH32">
        <v>0.215</v>
      </c>
      <c r="AI32">
        <v>1</v>
      </c>
      <c r="AJ32">
        <v>11</v>
      </c>
      <c r="AK32">
        <v>18</v>
      </c>
      <c r="AL32">
        <v>7</v>
      </c>
    </row>
    <row r="33" spans="1:38" x14ac:dyDescent="0.35">
      <c r="A33" t="s">
        <v>254</v>
      </c>
      <c r="B33">
        <v>315187.31910000002</v>
      </c>
      <c r="C33">
        <v>6402362.2586000003</v>
      </c>
      <c r="D33">
        <v>9463397</v>
      </c>
      <c r="E33" t="s">
        <v>255</v>
      </c>
      <c r="F33" t="s">
        <v>256</v>
      </c>
      <c r="G33">
        <v>138244</v>
      </c>
      <c r="H33">
        <v>2</v>
      </c>
      <c r="I33" t="s">
        <v>257</v>
      </c>
      <c r="J33" t="s">
        <v>258</v>
      </c>
      <c r="K33">
        <v>148793</v>
      </c>
      <c r="L33">
        <v>2</v>
      </c>
      <c r="M33">
        <v>10549</v>
      </c>
      <c r="N33" t="s">
        <v>257</v>
      </c>
      <c r="O33" t="s">
        <v>258</v>
      </c>
      <c r="P33">
        <v>148793</v>
      </c>
      <c r="Q33">
        <v>2</v>
      </c>
      <c r="R33">
        <v>10549</v>
      </c>
      <c r="S33">
        <v>1</v>
      </c>
      <c r="T33">
        <v>0.28499999999999998</v>
      </c>
      <c r="U33">
        <v>17</v>
      </c>
      <c r="V33">
        <v>0.82199999999999995</v>
      </c>
      <c r="W33">
        <v>49</v>
      </c>
      <c r="X33">
        <v>32</v>
      </c>
      <c r="Y33">
        <v>0</v>
      </c>
      <c r="Z33">
        <v>38.401111111111113</v>
      </c>
      <c r="AA33">
        <v>41.331388888888902</v>
      </c>
      <c r="AB33" t="s">
        <v>47</v>
      </c>
      <c r="AC33">
        <v>38</v>
      </c>
      <c r="AD33">
        <v>51844</v>
      </c>
      <c r="AE33">
        <v>62393</v>
      </c>
      <c r="AF33">
        <v>59.61070559610706</v>
      </c>
      <c r="AG33">
        <v>0.82199999999999995</v>
      </c>
      <c r="AH33">
        <v>0.28499999999999998</v>
      </c>
      <c r="AI33">
        <v>1</v>
      </c>
      <c r="AJ33">
        <v>12</v>
      </c>
      <c r="AK33">
        <v>19</v>
      </c>
      <c r="AL33">
        <v>7</v>
      </c>
    </row>
    <row r="34" spans="1:38" x14ac:dyDescent="0.35">
      <c r="A34" t="s">
        <v>259</v>
      </c>
      <c r="B34">
        <v>315187.31910000002</v>
      </c>
      <c r="C34">
        <v>6402362.2586000003</v>
      </c>
      <c r="D34">
        <v>4680221</v>
      </c>
      <c r="E34" t="s">
        <v>260</v>
      </c>
      <c r="F34" t="s">
        <v>261</v>
      </c>
      <c r="G34">
        <v>109543</v>
      </c>
      <c r="H34">
        <v>2</v>
      </c>
      <c r="I34" t="s">
        <v>262</v>
      </c>
      <c r="J34" t="s">
        <v>263</v>
      </c>
      <c r="K34">
        <v>120109</v>
      </c>
      <c r="L34">
        <v>2</v>
      </c>
      <c r="M34">
        <v>10566</v>
      </c>
      <c r="N34" t="s">
        <v>264</v>
      </c>
      <c r="O34" t="s">
        <v>265</v>
      </c>
      <c r="P34">
        <v>124582</v>
      </c>
      <c r="Q34">
        <v>2</v>
      </c>
      <c r="R34">
        <v>15039</v>
      </c>
      <c r="S34">
        <v>0.70299999999999996</v>
      </c>
      <c r="T34">
        <v>0.498</v>
      </c>
      <c r="U34">
        <v>26</v>
      </c>
      <c r="V34">
        <v>1</v>
      </c>
      <c r="W34">
        <v>52</v>
      </c>
      <c r="X34">
        <v>26</v>
      </c>
      <c r="Y34">
        <v>0</v>
      </c>
      <c r="Z34">
        <v>30.42861111111112</v>
      </c>
      <c r="AA34">
        <v>33.363611111111112</v>
      </c>
      <c r="AB34" t="s">
        <v>47</v>
      </c>
      <c r="AC34">
        <v>30</v>
      </c>
      <c r="AD34">
        <v>23143</v>
      </c>
      <c r="AE34">
        <v>33709</v>
      </c>
      <c r="AF34">
        <v>52</v>
      </c>
      <c r="AG34">
        <v>1</v>
      </c>
      <c r="AH34">
        <v>0.498</v>
      </c>
      <c r="AI34">
        <v>1</v>
      </c>
      <c r="AJ34">
        <v>4</v>
      </c>
      <c r="AK34">
        <v>11</v>
      </c>
      <c r="AL34">
        <v>7</v>
      </c>
    </row>
    <row r="35" spans="1:38" x14ac:dyDescent="0.35">
      <c r="A35" t="s">
        <v>266</v>
      </c>
      <c r="B35">
        <v>323475.79129999969</v>
      </c>
      <c r="C35">
        <v>6401219.8768000007</v>
      </c>
      <c r="D35">
        <v>4777988</v>
      </c>
      <c r="E35" t="s">
        <v>267</v>
      </c>
      <c r="F35" t="s">
        <v>268</v>
      </c>
      <c r="G35">
        <v>118448</v>
      </c>
      <c r="H35">
        <v>2</v>
      </c>
      <c r="I35" t="s">
        <v>269</v>
      </c>
      <c r="J35" t="s">
        <v>270</v>
      </c>
      <c r="K35">
        <v>129039</v>
      </c>
      <c r="L35">
        <v>2</v>
      </c>
      <c r="M35">
        <v>10591</v>
      </c>
      <c r="N35" t="s">
        <v>271</v>
      </c>
      <c r="O35" t="s">
        <v>272</v>
      </c>
      <c r="P35">
        <v>146937</v>
      </c>
      <c r="Q35">
        <v>2</v>
      </c>
      <c r="R35">
        <v>28489</v>
      </c>
      <c r="S35">
        <v>0.372</v>
      </c>
      <c r="T35">
        <v>0.496</v>
      </c>
      <c r="U35">
        <v>26</v>
      </c>
      <c r="V35">
        <v>1</v>
      </c>
      <c r="W35">
        <v>52</v>
      </c>
      <c r="X35">
        <v>26</v>
      </c>
      <c r="Y35">
        <v>0</v>
      </c>
      <c r="Z35">
        <v>32.902222222222221</v>
      </c>
      <c r="AA35">
        <v>35.844166666666673</v>
      </c>
      <c r="AB35" t="s">
        <v>47</v>
      </c>
      <c r="AC35">
        <v>32</v>
      </c>
      <c r="AD35">
        <v>32048</v>
      </c>
      <c r="AE35">
        <v>42639</v>
      </c>
      <c r="AF35">
        <v>52</v>
      </c>
      <c r="AG35">
        <v>1</v>
      </c>
      <c r="AH35">
        <v>0.496</v>
      </c>
      <c r="AI35">
        <v>1</v>
      </c>
      <c r="AJ35">
        <v>7</v>
      </c>
      <c r="AK35">
        <v>14</v>
      </c>
      <c r="AL35">
        <v>7</v>
      </c>
    </row>
    <row r="36" spans="1:38" x14ac:dyDescent="0.35">
      <c r="A36" t="s">
        <v>273</v>
      </c>
      <c r="B36">
        <v>323475.79129999969</v>
      </c>
      <c r="C36">
        <v>6401219.8768000007</v>
      </c>
      <c r="D36">
        <v>8120891</v>
      </c>
      <c r="E36" t="s">
        <v>274</v>
      </c>
      <c r="F36" t="s">
        <v>275</v>
      </c>
      <c r="G36">
        <v>115993</v>
      </c>
      <c r="H36">
        <v>2</v>
      </c>
      <c r="I36" t="s">
        <v>276</v>
      </c>
      <c r="J36" t="s">
        <v>277</v>
      </c>
      <c r="K36">
        <v>129749</v>
      </c>
      <c r="L36">
        <v>2</v>
      </c>
      <c r="M36">
        <v>13756</v>
      </c>
      <c r="N36" t="s">
        <v>278</v>
      </c>
      <c r="O36" t="s">
        <v>279</v>
      </c>
      <c r="P36">
        <v>145726</v>
      </c>
      <c r="Q36">
        <v>2</v>
      </c>
      <c r="R36">
        <v>29733</v>
      </c>
      <c r="S36">
        <v>0.46300000000000002</v>
      </c>
      <c r="T36">
        <v>0.39600000000000002</v>
      </c>
      <c r="U36">
        <v>24</v>
      </c>
      <c r="V36">
        <v>1</v>
      </c>
      <c r="W36">
        <v>60</v>
      </c>
      <c r="X36">
        <v>36</v>
      </c>
      <c r="Y36">
        <v>0</v>
      </c>
      <c r="Z36">
        <v>32.220277777777781</v>
      </c>
      <c r="AA36">
        <v>36.041388888888889</v>
      </c>
      <c r="AB36" t="s">
        <v>47</v>
      </c>
      <c r="AC36">
        <v>32</v>
      </c>
      <c r="AD36">
        <v>29593</v>
      </c>
      <c r="AE36">
        <v>43349</v>
      </c>
      <c r="AF36">
        <v>60</v>
      </c>
      <c r="AG36">
        <v>1</v>
      </c>
      <c r="AH36">
        <v>0.39600000000000002</v>
      </c>
      <c r="AI36">
        <v>1</v>
      </c>
      <c r="AJ36">
        <v>6</v>
      </c>
      <c r="AK36">
        <v>14</v>
      </c>
      <c r="AL36">
        <v>8</v>
      </c>
    </row>
    <row r="37" spans="1:38" x14ac:dyDescent="0.35">
      <c r="A37" t="s">
        <v>280</v>
      </c>
      <c r="B37">
        <v>323475.79129999969</v>
      </c>
      <c r="C37">
        <v>6401219.8768000007</v>
      </c>
      <c r="D37">
        <v>4737640</v>
      </c>
      <c r="E37" t="s">
        <v>281</v>
      </c>
      <c r="F37" t="s">
        <v>282</v>
      </c>
      <c r="G37">
        <v>120639</v>
      </c>
      <c r="H37">
        <v>2</v>
      </c>
      <c r="I37" t="s">
        <v>283</v>
      </c>
      <c r="J37" t="s">
        <v>284</v>
      </c>
      <c r="K37">
        <v>134439</v>
      </c>
      <c r="L37">
        <v>2</v>
      </c>
      <c r="M37">
        <v>13800</v>
      </c>
      <c r="N37" t="s">
        <v>285</v>
      </c>
      <c r="O37" t="s">
        <v>286</v>
      </c>
      <c r="P37">
        <v>139505</v>
      </c>
      <c r="Q37">
        <v>2</v>
      </c>
      <c r="R37">
        <v>18866</v>
      </c>
      <c r="S37">
        <v>0.73099999999999998</v>
      </c>
      <c r="T37">
        <v>0.308</v>
      </c>
      <c r="U37">
        <v>16</v>
      </c>
      <c r="V37">
        <v>1</v>
      </c>
      <c r="W37">
        <v>52</v>
      </c>
      <c r="X37">
        <v>36</v>
      </c>
      <c r="Y37">
        <v>0</v>
      </c>
      <c r="Z37">
        <v>33.510833333333331</v>
      </c>
      <c r="AA37">
        <v>37.344166666666673</v>
      </c>
      <c r="AB37" t="s">
        <v>47</v>
      </c>
      <c r="AC37">
        <v>33</v>
      </c>
      <c r="AD37">
        <v>34239</v>
      </c>
      <c r="AE37">
        <v>48039</v>
      </c>
      <c r="AF37">
        <v>52</v>
      </c>
      <c r="AG37">
        <v>1</v>
      </c>
      <c r="AH37">
        <v>0.308</v>
      </c>
      <c r="AI37">
        <v>1</v>
      </c>
      <c r="AJ37">
        <v>8</v>
      </c>
      <c r="AK37">
        <v>15</v>
      </c>
      <c r="AL37">
        <v>7</v>
      </c>
    </row>
    <row r="38" spans="1:38" x14ac:dyDescent="0.35">
      <c r="A38" t="s">
        <v>287</v>
      </c>
      <c r="B38">
        <v>323475.79129999969</v>
      </c>
      <c r="C38">
        <v>6401219.8768000007</v>
      </c>
      <c r="D38">
        <v>2322228</v>
      </c>
      <c r="E38" t="s">
        <v>288</v>
      </c>
      <c r="F38" t="s">
        <v>289</v>
      </c>
      <c r="G38">
        <v>111464</v>
      </c>
      <c r="H38">
        <v>2</v>
      </c>
      <c r="I38" t="s">
        <v>290</v>
      </c>
      <c r="J38" t="s">
        <v>291</v>
      </c>
      <c r="K38">
        <v>125264</v>
      </c>
      <c r="L38">
        <v>2</v>
      </c>
      <c r="M38">
        <v>13800</v>
      </c>
      <c r="N38" t="s">
        <v>292</v>
      </c>
      <c r="O38" t="s">
        <v>293</v>
      </c>
      <c r="P38">
        <v>146456</v>
      </c>
      <c r="Q38">
        <v>2</v>
      </c>
      <c r="R38">
        <v>34992</v>
      </c>
      <c r="S38">
        <v>0.39400000000000002</v>
      </c>
      <c r="T38">
        <v>0.39300000000000002</v>
      </c>
      <c r="U38">
        <v>24</v>
      </c>
      <c r="V38">
        <v>1</v>
      </c>
      <c r="W38">
        <v>60</v>
      </c>
      <c r="X38">
        <v>36</v>
      </c>
      <c r="Y38">
        <v>0</v>
      </c>
      <c r="Z38">
        <v>30.96222222222222</v>
      </c>
      <c r="AA38">
        <v>34.795555555555552</v>
      </c>
      <c r="AB38" t="s">
        <v>47</v>
      </c>
      <c r="AC38">
        <v>30</v>
      </c>
      <c r="AD38">
        <v>25064</v>
      </c>
      <c r="AE38">
        <v>38864</v>
      </c>
      <c r="AF38">
        <v>60</v>
      </c>
      <c r="AG38">
        <v>1</v>
      </c>
      <c r="AH38">
        <v>0.39300000000000002</v>
      </c>
      <c r="AI38">
        <v>1</v>
      </c>
      <c r="AJ38">
        <v>5</v>
      </c>
      <c r="AK38">
        <v>13</v>
      </c>
      <c r="AL38">
        <v>8</v>
      </c>
    </row>
    <row r="39" spans="1:38" x14ac:dyDescent="0.35">
      <c r="A39" t="s">
        <v>294</v>
      </c>
      <c r="B39">
        <v>323475.79129999969</v>
      </c>
      <c r="C39">
        <v>6401219.8768000007</v>
      </c>
      <c r="D39">
        <v>9509853</v>
      </c>
      <c r="E39" t="s">
        <v>295</v>
      </c>
      <c r="F39" t="s">
        <v>296</v>
      </c>
      <c r="G39">
        <v>109522</v>
      </c>
      <c r="H39">
        <v>2</v>
      </c>
      <c r="I39" t="s">
        <v>297</v>
      </c>
      <c r="J39" t="s">
        <v>298</v>
      </c>
      <c r="K39">
        <v>123334</v>
      </c>
      <c r="L39">
        <v>2</v>
      </c>
      <c r="M39">
        <v>13812</v>
      </c>
      <c r="N39" t="s">
        <v>299</v>
      </c>
      <c r="O39" t="s">
        <v>300</v>
      </c>
      <c r="P39">
        <v>145471</v>
      </c>
      <c r="Q39">
        <v>2</v>
      </c>
      <c r="R39">
        <v>35949</v>
      </c>
      <c r="S39">
        <v>0.38400000000000001</v>
      </c>
      <c r="T39">
        <v>0.307</v>
      </c>
      <c r="U39">
        <v>16</v>
      </c>
      <c r="V39">
        <v>1</v>
      </c>
      <c r="W39">
        <v>52</v>
      </c>
      <c r="X39">
        <v>36</v>
      </c>
      <c r="Y39">
        <v>0</v>
      </c>
      <c r="Z39">
        <v>30.422777777777771</v>
      </c>
      <c r="AA39">
        <v>34.259444444444448</v>
      </c>
      <c r="AB39" t="s">
        <v>47</v>
      </c>
      <c r="AC39">
        <v>30</v>
      </c>
      <c r="AD39">
        <v>23122</v>
      </c>
      <c r="AE39">
        <v>36934</v>
      </c>
      <c r="AF39">
        <v>52</v>
      </c>
      <c r="AG39">
        <v>1</v>
      </c>
      <c r="AH39">
        <v>0.307</v>
      </c>
      <c r="AI39">
        <v>1</v>
      </c>
      <c r="AJ39">
        <v>4</v>
      </c>
      <c r="AK39">
        <v>12</v>
      </c>
      <c r="AL39">
        <v>8</v>
      </c>
    </row>
    <row r="40" spans="1:38" x14ac:dyDescent="0.35">
      <c r="A40" t="s">
        <v>301</v>
      </c>
      <c r="B40">
        <v>323475.79129999969</v>
      </c>
      <c r="C40">
        <v>6401219.8768000007</v>
      </c>
      <c r="D40">
        <v>1939232</v>
      </c>
      <c r="E40" t="s">
        <v>302</v>
      </c>
      <c r="F40" t="s">
        <v>303</v>
      </c>
      <c r="G40">
        <v>111120</v>
      </c>
      <c r="H40">
        <v>2</v>
      </c>
      <c r="I40" t="s">
        <v>304</v>
      </c>
      <c r="J40" t="s">
        <v>305</v>
      </c>
      <c r="K40">
        <v>124965</v>
      </c>
      <c r="L40">
        <v>2</v>
      </c>
      <c r="M40">
        <v>13845</v>
      </c>
      <c r="N40" t="s">
        <v>304</v>
      </c>
      <c r="O40" t="s">
        <v>305</v>
      </c>
      <c r="P40">
        <v>124965</v>
      </c>
      <c r="Q40">
        <v>2</v>
      </c>
      <c r="R40">
        <v>13845</v>
      </c>
      <c r="S40">
        <v>1</v>
      </c>
      <c r="T40">
        <v>0.35199999999999998</v>
      </c>
      <c r="U40">
        <v>21</v>
      </c>
      <c r="V40">
        <v>0.997</v>
      </c>
      <c r="W40">
        <v>60</v>
      </c>
      <c r="X40">
        <v>39</v>
      </c>
      <c r="Y40">
        <v>0</v>
      </c>
      <c r="Z40">
        <v>30.866666666666671</v>
      </c>
      <c r="AA40">
        <v>34.712500000000013</v>
      </c>
      <c r="AB40" t="s">
        <v>47</v>
      </c>
      <c r="AC40">
        <v>30</v>
      </c>
      <c r="AD40">
        <v>24720</v>
      </c>
      <c r="AE40">
        <v>38565</v>
      </c>
      <c r="AF40">
        <v>60.180541624874621</v>
      </c>
      <c r="AG40">
        <v>0.997</v>
      </c>
      <c r="AH40">
        <v>0.35199999999999998</v>
      </c>
      <c r="AI40">
        <v>1</v>
      </c>
      <c r="AJ40">
        <v>5</v>
      </c>
      <c r="AK40">
        <v>13</v>
      </c>
      <c r="AL40">
        <v>8</v>
      </c>
    </row>
    <row r="41" spans="1:38" x14ac:dyDescent="0.35">
      <c r="A41" t="s">
        <v>306</v>
      </c>
      <c r="B41">
        <v>323475.79129999969</v>
      </c>
      <c r="C41">
        <v>6401219.8768000007</v>
      </c>
      <c r="D41">
        <v>4765700</v>
      </c>
      <c r="E41" t="s">
        <v>307</v>
      </c>
      <c r="F41" t="s">
        <v>308</v>
      </c>
      <c r="G41">
        <v>111550</v>
      </c>
      <c r="H41">
        <v>2</v>
      </c>
      <c r="I41" t="s">
        <v>309</v>
      </c>
      <c r="J41" t="s">
        <v>310</v>
      </c>
      <c r="K41">
        <v>125419</v>
      </c>
      <c r="L41">
        <v>2</v>
      </c>
      <c r="M41">
        <v>13869</v>
      </c>
      <c r="N41" t="s">
        <v>311</v>
      </c>
      <c r="O41" t="s">
        <v>312</v>
      </c>
      <c r="P41">
        <v>142874</v>
      </c>
      <c r="Q41">
        <v>2</v>
      </c>
      <c r="R41">
        <v>31324</v>
      </c>
      <c r="S41">
        <v>0.443</v>
      </c>
      <c r="T41">
        <v>0.39</v>
      </c>
      <c r="U41">
        <v>23</v>
      </c>
      <c r="V41">
        <v>1</v>
      </c>
      <c r="W41">
        <v>60</v>
      </c>
      <c r="X41">
        <v>37</v>
      </c>
      <c r="Y41">
        <v>0</v>
      </c>
      <c r="Z41">
        <v>30.986111111111111</v>
      </c>
      <c r="AA41">
        <v>34.838611111111113</v>
      </c>
      <c r="AB41" t="s">
        <v>47</v>
      </c>
      <c r="AC41">
        <v>30</v>
      </c>
      <c r="AD41">
        <v>25150</v>
      </c>
      <c r="AE41">
        <v>39019</v>
      </c>
      <c r="AF41">
        <v>60</v>
      </c>
      <c r="AG41">
        <v>1</v>
      </c>
      <c r="AH41">
        <v>0.39</v>
      </c>
      <c r="AI41">
        <v>1</v>
      </c>
      <c r="AJ41">
        <v>5</v>
      </c>
      <c r="AK41">
        <v>13</v>
      </c>
      <c r="AL41">
        <v>8</v>
      </c>
    </row>
    <row r="42" spans="1:38" x14ac:dyDescent="0.35">
      <c r="A42" t="s">
        <v>313</v>
      </c>
      <c r="B42">
        <v>323475.79129999969</v>
      </c>
      <c r="C42">
        <v>6401219.8768000007</v>
      </c>
      <c r="D42">
        <v>2323217</v>
      </c>
      <c r="E42" t="s">
        <v>314</v>
      </c>
      <c r="F42" t="s">
        <v>315</v>
      </c>
      <c r="G42">
        <v>121602</v>
      </c>
      <c r="H42">
        <v>2</v>
      </c>
      <c r="I42" t="s">
        <v>316</v>
      </c>
      <c r="J42" t="s">
        <v>317</v>
      </c>
      <c r="K42">
        <v>135504</v>
      </c>
      <c r="L42">
        <v>2</v>
      </c>
      <c r="M42">
        <v>13902</v>
      </c>
      <c r="N42" t="s">
        <v>318</v>
      </c>
      <c r="O42" t="s">
        <v>319</v>
      </c>
      <c r="P42">
        <v>147380</v>
      </c>
      <c r="Q42">
        <v>2</v>
      </c>
      <c r="R42">
        <v>25778</v>
      </c>
      <c r="S42">
        <v>0.53900000000000003</v>
      </c>
      <c r="T42">
        <v>0.38800000000000001</v>
      </c>
      <c r="U42">
        <v>23</v>
      </c>
      <c r="V42">
        <v>1</v>
      </c>
      <c r="W42">
        <v>60</v>
      </c>
      <c r="X42">
        <v>37</v>
      </c>
      <c r="Y42">
        <v>0</v>
      </c>
      <c r="Z42">
        <v>33.778333333333329</v>
      </c>
      <c r="AA42">
        <v>37.64</v>
      </c>
      <c r="AB42" t="s">
        <v>47</v>
      </c>
      <c r="AC42">
        <v>33</v>
      </c>
      <c r="AD42">
        <v>35202</v>
      </c>
      <c r="AE42">
        <v>49104</v>
      </c>
      <c r="AF42">
        <v>60</v>
      </c>
      <c r="AG42">
        <v>1</v>
      </c>
      <c r="AH42">
        <v>0.38800000000000001</v>
      </c>
      <c r="AI42">
        <v>1</v>
      </c>
      <c r="AJ42">
        <v>8</v>
      </c>
      <c r="AK42">
        <v>16</v>
      </c>
      <c r="AL42">
        <v>8</v>
      </c>
    </row>
    <row r="43" spans="1:38" x14ac:dyDescent="0.35">
      <c r="A43" t="s">
        <v>320</v>
      </c>
      <c r="B43">
        <v>323475.79129999969</v>
      </c>
      <c r="C43">
        <v>6401219.8768000007</v>
      </c>
      <c r="D43">
        <v>2015769</v>
      </c>
      <c r="E43" t="s">
        <v>321</v>
      </c>
      <c r="F43" t="s">
        <v>322</v>
      </c>
      <c r="G43">
        <v>114391</v>
      </c>
      <c r="H43">
        <v>2</v>
      </c>
      <c r="I43" t="s">
        <v>323</v>
      </c>
      <c r="J43" t="s">
        <v>324</v>
      </c>
      <c r="K43">
        <v>128314</v>
      </c>
      <c r="L43">
        <v>2</v>
      </c>
      <c r="M43">
        <v>13923</v>
      </c>
      <c r="N43" t="s">
        <v>325</v>
      </c>
      <c r="O43" t="s">
        <v>326</v>
      </c>
      <c r="P43">
        <v>140419</v>
      </c>
      <c r="Q43">
        <v>2</v>
      </c>
      <c r="R43">
        <v>26028</v>
      </c>
      <c r="S43">
        <v>0.53500000000000003</v>
      </c>
      <c r="T43">
        <v>0.30099999999999999</v>
      </c>
      <c r="U43">
        <v>16</v>
      </c>
      <c r="V43">
        <v>1</v>
      </c>
      <c r="W43">
        <v>52</v>
      </c>
      <c r="X43">
        <v>36</v>
      </c>
      <c r="Y43">
        <v>0</v>
      </c>
      <c r="Z43">
        <v>31.775277777777781</v>
      </c>
      <c r="AA43">
        <v>35.642777777777781</v>
      </c>
      <c r="AB43" t="s">
        <v>47</v>
      </c>
      <c r="AC43">
        <v>31</v>
      </c>
      <c r="AD43">
        <v>27991</v>
      </c>
      <c r="AE43">
        <v>41914</v>
      </c>
      <c r="AF43">
        <v>52</v>
      </c>
      <c r="AG43">
        <v>1</v>
      </c>
      <c r="AH43">
        <v>0.30099999999999999</v>
      </c>
      <c r="AI43">
        <v>1</v>
      </c>
      <c r="AJ43">
        <v>6</v>
      </c>
      <c r="AK43">
        <v>14</v>
      </c>
      <c r="AL43">
        <v>8</v>
      </c>
    </row>
    <row r="44" spans="1:38" x14ac:dyDescent="0.35">
      <c r="A44" t="s">
        <v>327</v>
      </c>
      <c r="B44">
        <v>323475.79129999969</v>
      </c>
      <c r="C44">
        <v>6401219.8768000007</v>
      </c>
      <c r="D44">
        <v>9483468</v>
      </c>
      <c r="E44" t="s">
        <v>328</v>
      </c>
      <c r="F44" t="s">
        <v>329</v>
      </c>
      <c r="G44">
        <v>118986</v>
      </c>
      <c r="H44">
        <v>2</v>
      </c>
      <c r="I44" t="s">
        <v>330</v>
      </c>
      <c r="J44" t="s">
        <v>331</v>
      </c>
      <c r="K44">
        <v>132989</v>
      </c>
      <c r="L44">
        <v>2</v>
      </c>
      <c r="M44">
        <v>14003</v>
      </c>
      <c r="N44" t="s">
        <v>332</v>
      </c>
      <c r="O44" t="s">
        <v>333</v>
      </c>
      <c r="P44">
        <v>151775</v>
      </c>
      <c r="Q44">
        <v>2</v>
      </c>
      <c r="R44">
        <v>32789</v>
      </c>
      <c r="S44">
        <v>0.42699999999999999</v>
      </c>
      <c r="T44">
        <v>0.48099999999999998</v>
      </c>
      <c r="U44">
        <v>36</v>
      </c>
      <c r="V44">
        <v>1</v>
      </c>
      <c r="W44">
        <v>75</v>
      </c>
      <c r="X44">
        <v>39</v>
      </c>
      <c r="Y44">
        <v>0</v>
      </c>
      <c r="Z44">
        <v>33.051666666666662</v>
      </c>
      <c r="AA44">
        <v>36.941388888888888</v>
      </c>
      <c r="AB44" t="s">
        <v>47</v>
      </c>
      <c r="AC44">
        <v>33</v>
      </c>
      <c r="AD44">
        <v>32586</v>
      </c>
      <c r="AE44">
        <v>46589</v>
      </c>
      <c r="AF44">
        <v>75</v>
      </c>
      <c r="AG44">
        <v>1</v>
      </c>
      <c r="AH44">
        <v>0.48099999999999998</v>
      </c>
      <c r="AI44">
        <v>1</v>
      </c>
      <c r="AJ44">
        <v>7</v>
      </c>
      <c r="AK44">
        <v>15</v>
      </c>
      <c r="AL44">
        <v>8</v>
      </c>
    </row>
    <row r="45" spans="1:38" x14ac:dyDescent="0.35">
      <c r="A45" t="s">
        <v>334</v>
      </c>
      <c r="B45">
        <v>323475.79129999969</v>
      </c>
      <c r="C45">
        <v>6401219.8768000007</v>
      </c>
      <c r="D45">
        <v>1922151</v>
      </c>
      <c r="E45" t="s">
        <v>335</v>
      </c>
      <c r="F45" t="s">
        <v>336</v>
      </c>
      <c r="G45">
        <v>117192</v>
      </c>
      <c r="H45">
        <v>2</v>
      </c>
      <c r="I45" t="s">
        <v>337</v>
      </c>
      <c r="J45" t="s">
        <v>338</v>
      </c>
      <c r="K45">
        <v>131209</v>
      </c>
      <c r="L45">
        <v>2</v>
      </c>
      <c r="M45">
        <v>14017</v>
      </c>
      <c r="N45" t="s">
        <v>339</v>
      </c>
      <c r="O45" t="s">
        <v>340</v>
      </c>
      <c r="P45">
        <v>144912</v>
      </c>
      <c r="Q45">
        <v>2</v>
      </c>
      <c r="R45">
        <v>27720</v>
      </c>
      <c r="S45">
        <v>0.50600000000000001</v>
      </c>
      <c r="T45">
        <v>0.48</v>
      </c>
      <c r="U45">
        <v>36</v>
      </c>
      <c r="V45">
        <v>1</v>
      </c>
      <c r="W45">
        <v>75</v>
      </c>
      <c r="X45">
        <v>39</v>
      </c>
      <c r="Y45">
        <v>0</v>
      </c>
      <c r="Z45">
        <v>32.553333333333327</v>
      </c>
      <c r="AA45">
        <v>36.446944444444441</v>
      </c>
      <c r="AB45" t="s">
        <v>47</v>
      </c>
      <c r="AC45">
        <v>32</v>
      </c>
      <c r="AD45">
        <v>30792</v>
      </c>
      <c r="AE45">
        <v>44809</v>
      </c>
      <c r="AF45">
        <v>75</v>
      </c>
      <c r="AG45">
        <v>1</v>
      </c>
      <c r="AH45">
        <v>0.48</v>
      </c>
      <c r="AI45">
        <v>1</v>
      </c>
      <c r="AJ45">
        <v>7</v>
      </c>
      <c r="AK45">
        <v>14</v>
      </c>
      <c r="AL45">
        <v>7</v>
      </c>
    </row>
    <row r="46" spans="1:38" x14ac:dyDescent="0.35">
      <c r="A46" t="s">
        <v>341</v>
      </c>
      <c r="B46">
        <v>323475.79129999969</v>
      </c>
      <c r="C46">
        <v>6401219.8768000007</v>
      </c>
      <c r="D46">
        <v>1967625</v>
      </c>
      <c r="E46" t="s">
        <v>342</v>
      </c>
      <c r="F46" t="s">
        <v>343</v>
      </c>
      <c r="G46">
        <v>123443</v>
      </c>
      <c r="H46">
        <v>2</v>
      </c>
      <c r="I46" t="s">
        <v>344</v>
      </c>
      <c r="J46" t="s">
        <v>345</v>
      </c>
      <c r="K46">
        <v>137479</v>
      </c>
      <c r="L46">
        <v>2</v>
      </c>
      <c r="M46">
        <v>14036</v>
      </c>
      <c r="N46" t="s">
        <v>346</v>
      </c>
      <c r="O46" t="s">
        <v>347</v>
      </c>
      <c r="P46">
        <v>148928</v>
      </c>
      <c r="Q46">
        <v>2</v>
      </c>
      <c r="R46">
        <v>25485</v>
      </c>
      <c r="S46">
        <v>0.55100000000000005</v>
      </c>
      <c r="T46">
        <v>9.9000000000000005E-2</v>
      </c>
      <c r="U46">
        <v>4</v>
      </c>
      <c r="V46">
        <v>1</v>
      </c>
      <c r="W46">
        <v>42</v>
      </c>
      <c r="X46">
        <v>38</v>
      </c>
      <c r="Y46">
        <v>0</v>
      </c>
      <c r="Z46">
        <v>34.289722222222217</v>
      </c>
      <c r="AA46">
        <v>38.188611111111108</v>
      </c>
      <c r="AB46" t="s">
        <v>47</v>
      </c>
      <c r="AC46">
        <v>34</v>
      </c>
      <c r="AD46">
        <v>37043</v>
      </c>
      <c r="AE46">
        <v>51079</v>
      </c>
      <c r="AF46">
        <v>42</v>
      </c>
      <c r="AG46">
        <v>1</v>
      </c>
      <c r="AH46">
        <v>9.9000000000000005E-2</v>
      </c>
      <c r="AI46">
        <v>1</v>
      </c>
      <c r="AJ46">
        <v>8</v>
      </c>
      <c r="AK46">
        <v>16</v>
      </c>
      <c r="AL46">
        <v>8</v>
      </c>
    </row>
    <row r="47" spans="1:38" x14ac:dyDescent="0.35">
      <c r="A47" t="s">
        <v>348</v>
      </c>
      <c r="B47">
        <v>323475.79129999969</v>
      </c>
      <c r="C47">
        <v>6401219.8768000007</v>
      </c>
      <c r="D47">
        <v>4737561</v>
      </c>
      <c r="E47" t="s">
        <v>349</v>
      </c>
      <c r="F47" t="s">
        <v>350</v>
      </c>
      <c r="G47">
        <v>125990</v>
      </c>
      <c r="H47">
        <v>2</v>
      </c>
      <c r="I47" t="s">
        <v>351</v>
      </c>
      <c r="J47" t="s">
        <v>352</v>
      </c>
      <c r="K47">
        <v>140174</v>
      </c>
      <c r="L47">
        <v>2</v>
      </c>
      <c r="M47">
        <v>14184</v>
      </c>
      <c r="N47" t="s">
        <v>353</v>
      </c>
      <c r="O47" t="s">
        <v>354</v>
      </c>
      <c r="P47">
        <v>151580</v>
      </c>
      <c r="Q47">
        <v>2</v>
      </c>
      <c r="R47">
        <v>25590</v>
      </c>
      <c r="S47">
        <v>0.55400000000000005</v>
      </c>
      <c r="T47">
        <v>8.8999999999999996E-2</v>
      </c>
      <c r="U47">
        <v>4</v>
      </c>
      <c r="V47">
        <v>1</v>
      </c>
      <c r="W47">
        <v>42</v>
      </c>
      <c r="X47">
        <v>38</v>
      </c>
      <c r="Y47">
        <v>0</v>
      </c>
      <c r="Z47">
        <v>34.99722222222222</v>
      </c>
      <c r="AA47">
        <v>38.937222222222218</v>
      </c>
      <c r="AB47" t="s">
        <v>47</v>
      </c>
      <c r="AC47">
        <v>34</v>
      </c>
      <c r="AD47">
        <v>39590</v>
      </c>
      <c r="AE47">
        <v>53774</v>
      </c>
      <c r="AF47">
        <v>42</v>
      </c>
      <c r="AG47">
        <v>1</v>
      </c>
      <c r="AH47">
        <v>8.8999999999999996E-2</v>
      </c>
      <c r="AI47">
        <v>1</v>
      </c>
      <c r="AJ47">
        <v>9</v>
      </c>
      <c r="AK47">
        <v>17</v>
      </c>
      <c r="AL47">
        <v>8</v>
      </c>
    </row>
    <row r="48" spans="1:38" x14ac:dyDescent="0.35">
      <c r="A48" t="s">
        <v>355</v>
      </c>
      <c r="B48">
        <v>323475.79129999969</v>
      </c>
      <c r="C48">
        <v>6401219.8768000007</v>
      </c>
      <c r="D48">
        <v>4784838</v>
      </c>
      <c r="E48" t="s">
        <v>356</v>
      </c>
      <c r="F48" t="s">
        <v>357</v>
      </c>
      <c r="G48">
        <v>118920</v>
      </c>
      <c r="H48">
        <v>2</v>
      </c>
      <c r="I48" t="s">
        <v>358</v>
      </c>
      <c r="J48" t="s">
        <v>359</v>
      </c>
      <c r="K48">
        <v>133134</v>
      </c>
      <c r="L48">
        <v>2</v>
      </c>
      <c r="M48">
        <v>14214</v>
      </c>
      <c r="N48" t="s">
        <v>360</v>
      </c>
      <c r="O48" t="s">
        <v>361</v>
      </c>
      <c r="P48">
        <v>133394</v>
      </c>
      <c r="Q48">
        <v>2</v>
      </c>
      <c r="R48">
        <v>14474</v>
      </c>
      <c r="S48">
        <v>0.98199999999999998</v>
      </c>
      <c r="T48">
        <v>0.47199999999999998</v>
      </c>
      <c r="U48">
        <v>35</v>
      </c>
      <c r="V48">
        <v>1</v>
      </c>
      <c r="W48">
        <v>75</v>
      </c>
      <c r="X48">
        <v>40</v>
      </c>
      <c r="Y48">
        <v>0</v>
      </c>
      <c r="Z48">
        <v>33.033333333333331</v>
      </c>
      <c r="AA48">
        <v>36.981666666666669</v>
      </c>
      <c r="AB48" t="s">
        <v>47</v>
      </c>
      <c r="AC48">
        <v>33</v>
      </c>
      <c r="AD48">
        <v>32520</v>
      </c>
      <c r="AE48">
        <v>46734</v>
      </c>
      <c r="AF48">
        <v>75</v>
      </c>
      <c r="AG48">
        <v>1</v>
      </c>
      <c r="AH48">
        <v>0.47199999999999998</v>
      </c>
      <c r="AI48">
        <v>1</v>
      </c>
      <c r="AJ48">
        <v>7</v>
      </c>
      <c r="AK48">
        <v>15</v>
      </c>
      <c r="AL48">
        <v>8</v>
      </c>
    </row>
    <row r="49" spans="1:38" x14ac:dyDescent="0.35">
      <c r="A49" t="s">
        <v>362</v>
      </c>
      <c r="B49">
        <v>323475.79129999969</v>
      </c>
      <c r="C49">
        <v>6401219.8768000007</v>
      </c>
      <c r="D49">
        <v>9423399</v>
      </c>
      <c r="E49" t="s">
        <v>363</v>
      </c>
      <c r="F49" t="s">
        <v>364</v>
      </c>
      <c r="G49">
        <v>131537</v>
      </c>
      <c r="H49">
        <v>2</v>
      </c>
      <c r="I49" t="s">
        <v>365</v>
      </c>
      <c r="J49" t="s">
        <v>366</v>
      </c>
      <c r="K49">
        <v>145794</v>
      </c>
      <c r="L49">
        <v>2</v>
      </c>
      <c r="M49">
        <v>14257</v>
      </c>
      <c r="N49" t="s">
        <v>367</v>
      </c>
      <c r="O49" t="s">
        <v>368</v>
      </c>
      <c r="P49">
        <v>146283</v>
      </c>
      <c r="Q49">
        <v>2</v>
      </c>
      <c r="R49">
        <v>14746</v>
      </c>
      <c r="S49">
        <v>0.96699999999999997</v>
      </c>
      <c r="T49">
        <v>8.3000000000000004E-2</v>
      </c>
      <c r="U49">
        <v>4</v>
      </c>
      <c r="V49">
        <v>1</v>
      </c>
      <c r="W49">
        <v>42</v>
      </c>
      <c r="X49">
        <v>38</v>
      </c>
      <c r="Y49">
        <v>0</v>
      </c>
      <c r="Z49">
        <v>36.538055555555552</v>
      </c>
      <c r="AA49">
        <v>40.498333333333328</v>
      </c>
      <c r="AB49" t="s">
        <v>47</v>
      </c>
      <c r="AC49">
        <v>36</v>
      </c>
      <c r="AD49">
        <v>45137</v>
      </c>
      <c r="AE49">
        <v>59394</v>
      </c>
      <c r="AF49">
        <v>42</v>
      </c>
      <c r="AG49">
        <v>1</v>
      </c>
      <c r="AH49">
        <v>8.3000000000000004E-2</v>
      </c>
      <c r="AI49">
        <v>1</v>
      </c>
      <c r="AJ49">
        <v>11</v>
      </c>
      <c r="AK49">
        <v>18</v>
      </c>
      <c r="AL49">
        <v>7</v>
      </c>
    </row>
    <row r="50" spans="1:38" x14ac:dyDescent="0.35">
      <c r="A50" t="s">
        <v>369</v>
      </c>
      <c r="B50">
        <v>323475.79129999969</v>
      </c>
      <c r="C50">
        <v>6401219.8768000007</v>
      </c>
      <c r="D50">
        <v>7367034</v>
      </c>
      <c r="E50" t="s">
        <v>370</v>
      </c>
      <c r="F50" t="s">
        <v>371</v>
      </c>
      <c r="G50">
        <v>113167</v>
      </c>
      <c r="H50">
        <v>2</v>
      </c>
      <c r="I50" t="s">
        <v>372</v>
      </c>
      <c r="J50" t="s">
        <v>373</v>
      </c>
      <c r="K50">
        <v>127444</v>
      </c>
      <c r="L50">
        <v>2</v>
      </c>
      <c r="M50">
        <v>14277</v>
      </c>
      <c r="N50" t="s">
        <v>374</v>
      </c>
      <c r="O50" t="s">
        <v>375</v>
      </c>
      <c r="P50">
        <v>146675</v>
      </c>
      <c r="Q50">
        <v>2</v>
      </c>
      <c r="R50">
        <v>33508</v>
      </c>
      <c r="S50">
        <v>0.42599999999999999</v>
      </c>
      <c r="T50">
        <v>0.28000000000000003</v>
      </c>
      <c r="U50">
        <v>15</v>
      </c>
      <c r="V50">
        <v>1</v>
      </c>
      <c r="W50">
        <v>52</v>
      </c>
      <c r="X50">
        <v>37</v>
      </c>
      <c r="Y50">
        <v>0</v>
      </c>
      <c r="Z50">
        <v>31.435277777777781</v>
      </c>
      <c r="AA50">
        <v>35.401111111111113</v>
      </c>
      <c r="AB50" t="s">
        <v>47</v>
      </c>
      <c r="AC50">
        <v>31</v>
      </c>
      <c r="AD50">
        <v>26767</v>
      </c>
      <c r="AE50">
        <v>41044</v>
      </c>
      <c r="AF50">
        <v>52</v>
      </c>
      <c r="AG50">
        <v>1</v>
      </c>
      <c r="AH50">
        <v>0.28000000000000003</v>
      </c>
      <c r="AI50">
        <v>1</v>
      </c>
      <c r="AJ50">
        <v>5</v>
      </c>
      <c r="AK50">
        <v>13</v>
      </c>
      <c r="AL50">
        <v>8</v>
      </c>
    </row>
    <row r="51" spans="1:38" x14ac:dyDescent="0.35">
      <c r="A51" t="s">
        <v>376</v>
      </c>
      <c r="B51">
        <v>323475.79129999969</v>
      </c>
      <c r="C51">
        <v>6401219.8768000007</v>
      </c>
      <c r="D51">
        <v>4588097</v>
      </c>
      <c r="E51" t="s">
        <v>377</v>
      </c>
      <c r="F51" t="s">
        <v>378</v>
      </c>
      <c r="G51">
        <v>110332</v>
      </c>
      <c r="H51">
        <v>2</v>
      </c>
      <c r="I51" t="s">
        <v>379</v>
      </c>
      <c r="J51" t="s">
        <v>380</v>
      </c>
      <c r="K51">
        <v>124664</v>
      </c>
      <c r="L51">
        <v>2</v>
      </c>
      <c r="M51">
        <v>14332</v>
      </c>
      <c r="N51" t="s">
        <v>381</v>
      </c>
      <c r="O51" t="s">
        <v>382</v>
      </c>
      <c r="P51">
        <v>140857</v>
      </c>
      <c r="Q51">
        <v>2</v>
      </c>
      <c r="R51">
        <v>30525</v>
      </c>
      <c r="S51">
        <v>0.47</v>
      </c>
      <c r="T51">
        <v>0.27700000000000002</v>
      </c>
      <c r="U51">
        <v>14</v>
      </c>
      <c r="V51">
        <v>1</v>
      </c>
      <c r="W51">
        <v>52</v>
      </c>
      <c r="X51">
        <v>38</v>
      </c>
      <c r="Y51">
        <v>0</v>
      </c>
      <c r="Z51">
        <v>30.64777777777778</v>
      </c>
      <c r="AA51">
        <v>34.628888888888888</v>
      </c>
      <c r="AB51" t="s">
        <v>47</v>
      </c>
      <c r="AC51">
        <v>30</v>
      </c>
      <c r="AD51">
        <v>23932</v>
      </c>
      <c r="AE51">
        <v>38264</v>
      </c>
      <c r="AF51">
        <v>52</v>
      </c>
      <c r="AG51">
        <v>1</v>
      </c>
      <c r="AH51">
        <v>0.27700000000000002</v>
      </c>
      <c r="AI51">
        <v>1</v>
      </c>
      <c r="AJ51">
        <v>5</v>
      </c>
      <c r="AK51">
        <v>13</v>
      </c>
      <c r="AL51">
        <v>8</v>
      </c>
    </row>
    <row r="52" spans="1:38" x14ac:dyDescent="0.35">
      <c r="A52" t="s">
        <v>383</v>
      </c>
      <c r="B52">
        <v>323475.79129999969</v>
      </c>
      <c r="C52">
        <v>6401219.8768000007</v>
      </c>
      <c r="D52">
        <v>2210614</v>
      </c>
      <c r="E52" t="s">
        <v>384</v>
      </c>
      <c r="F52" t="s">
        <v>385</v>
      </c>
      <c r="G52">
        <v>116228</v>
      </c>
      <c r="H52">
        <v>2</v>
      </c>
      <c r="I52" t="s">
        <v>386</v>
      </c>
      <c r="J52" t="s">
        <v>387</v>
      </c>
      <c r="K52">
        <v>130694</v>
      </c>
      <c r="L52">
        <v>2</v>
      </c>
      <c r="M52">
        <v>14466</v>
      </c>
      <c r="N52" t="s">
        <v>388</v>
      </c>
      <c r="O52" t="s">
        <v>389</v>
      </c>
      <c r="P52">
        <v>143340</v>
      </c>
      <c r="Q52">
        <v>2</v>
      </c>
      <c r="R52">
        <v>27112</v>
      </c>
      <c r="S52">
        <v>0.53400000000000003</v>
      </c>
      <c r="T52">
        <v>0.46200000000000002</v>
      </c>
      <c r="U52">
        <v>35</v>
      </c>
      <c r="V52">
        <v>1</v>
      </c>
      <c r="W52">
        <v>75</v>
      </c>
      <c r="X52">
        <v>40</v>
      </c>
      <c r="Y52">
        <v>0</v>
      </c>
      <c r="Z52">
        <v>32.285555555555547</v>
      </c>
      <c r="AA52">
        <v>36.303888888888878</v>
      </c>
      <c r="AB52" t="s">
        <v>47</v>
      </c>
      <c r="AC52">
        <v>32</v>
      </c>
      <c r="AD52">
        <v>29828</v>
      </c>
      <c r="AE52">
        <v>44294</v>
      </c>
      <c r="AF52">
        <v>75</v>
      </c>
      <c r="AG52">
        <v>1</v>
      </c>
      <c r="AH52">
        <v>0.46200000000000002</v>
      </c>
      <c r="AI52">
        <v>1</v>
      </c>
      <c r="AJ52">
        <v>6</v>
      </c>
      <c r="AK52">
        <v>14</v>
      </c>
      <c r="AL52">
        <v>8</v>
      </c>
    </row>
    <row r="53" spans="1:38" x14ac:dyDescent="0.35">
      <c r="A53" t="s">
        <v>390</v>
      </c>
      <c r="B53">
        <v>323475.79129999969</v>
      </c>
      <c r="C53">
        <v>6401219.8768000007</v>
      </c>
      <c r="D53">
        <v>7315350</v>
      </c>
      <c r="E53" t="s">
        <v>391</v>
      </c>
      <c r="F53" t="s">
        <v>392</v>
      </c>
      <c r="G53">
        <v>120406</v>
      </c>
      <c r="H53">
        <v>2</v>
      </c>
      <c r="I53" t="s">
        <v>393</v>
      </c>
      <c r="J53" t="s">
        <v>394</v>
      </c>
      <c r="K53">
        <v>134879</v>
      </c>
      <c r="L53">
        <v>2</v>
      </c>
      <c r="M53">
        <v>14473</v>
      </c>
      <c r="N53" t="s">
        <v>395</v>
      </c>
      <c r="O53" t="s">
        <v>396</v>
      </c>
      <c r="P53">
        <v>146184</v>
      </c>
      <c r="Q53">
        <v>2</v>
      </c>
      <c r="R53">
        <v>25778</v>
      </c>
      <c r="S53">
        <v>0.56100000000000005</v>
      </c>
      <c r="T53">
        <v>0.26800000000000002</v>
      </c>
      <c r="U53">
        <v>14</v>
      </c>
      <c r="V53">
        <v>1</v>
      </c>
      <c r="W53">
        <v>52</v>
      </c>
      <c r="X53">
        <v>38</v>
      </c>
      <c r="Y53">
        <v>0</v>
      </c>
      <c r="Z53">
        <v>33.446111111111108</v>
      </c>
      <c r="AA53">
        <v>37.466388888888893</v>
      </c>
      <c r="AB53" t="s">
        <v>47</v>
      </c>
      <c r="AC53">
        <v>33</v>
      </c>
      <c r="AD53">
        <v>34006</v>
      </c>
      <c r="AE53">
        <v>48479</v>
      </c>
      <c r="AF53">
        <v>52</v>
      </c>
      <c r="AG53">
        <v>1</v>
      </c>
      <c r="AH53">
        <v>0.26800000000000002</v>
      </c>
      <c r="AI53">
        <v>1</v>
      </c>
      <c r="AJ53">
        <v>7</v>
      </c>
      <c r="AK53">
        <v>15</v>
      </c>
      <c r="AL53">
        <v>8</v>
      </c>
    </row>
    <row r="54" spans="1:38" x14ac:dyDescent="0.35">
      <c r="A54" t="s">
        <v>397</v>
      </c>
      <c r="B54">
        <v>323475.79129999969</v>
      </c>
      <c r="C54">
        <v>6401219.8768000007</v>
      </c>
      <c r="D54">
        <v>7566536</v>
      </c>
      <c r="E54" t="s">
        <v>398</v>
      </c>
      <c r="F54" t="s">
        <v>399</v>
      </c>
      <c r="G54">
        <v>112210</v>
      </c>
      <c r="H54">
        <v>2</v>
      </c>
      <c r="I54" t="s">
        <v>400</v>
      </c>
      <c r="J54" t="s">
        <v>401</v>
      </c>
      <c r="K54">
        <v>126694</v>
      </c>
      <c r="L54">
        <v>2</v>
      </c>
      <c r="M54">
        <v>14484</v>
      </c>
      <c r="N54" t="s">
        <v>402</v>
      </c>
      <c r="O54" t="s">
        <v>403</v>
      </c>
      <c r="P54">
        <v>148717</v>
      </c>
      <c r="Q54">
        <v>2</v>
      </c>
      <c r="R54">
        <v>36507</v>
      </c>
      <c r="S54">
        <v>0.39700000000000002</v>
      </c>
      <c r="T54">
        <v>0.35899999999999999</v>
      </c>
      <c r="U54">
        <v>22</v>
      </c>
      <c r="V54">
        <v>1</v>
      </c>
      <c r="W54">
        <v>60</v>
      </c>
      <c r="X54">
        <v>38</v>
      </c>
      <c r="Y54">
        <v>0</v>
      </c>
      <c r="Z54">
        <v>31.169444444444441</v>
      </c>
      <c r="AA54">
        <v>35.192777777777778</v>
      </c>
      <c r="AB54" t="s">
        <v>47</v>
      </c>
      <c r="AC54">
        <v>31</v>
      </c>
      <c r="AD54">
        <v>25810</v>
      </c>
      <c r="AE54">
        <v>40294</v>
      </c>
      <c r="AF54">
        <v>60</v>
      </c>
      <c r="AG54">
        <v>1</v>
      </c>
      <c r="AH54">
        <v>0.35899999999999999</v>
      </c>
      <c r="AI54">
        <v>1</v>
      </c>
      <c r="AJ54">
        <v>5</v>
      </c>
      <c r="AK54">
        <v>13</v>
      </c>
      <c r="AL54">
        <v>8</v>
      </c>
    </row>
    <row r="55" spans="1:38" x14ac:dyDescent="0.35">
      <c r="A55" t="s">
        <v>404</v>
      </c>
      <c r="B55">
        <v>323475.79129999969</v>
      </c>
      <c r="C55">
        <v>6401219.8768000007</v>
      </c>
      <c r="D55">
        <v>2000658</v>
      </c>
      <c r="E55" t="s">
        <v>405</v>
      </c>
      <c r="F55" t="s">
        <v>406</v>
      </c>
      <c r="G55">
        <v>115865</v>
      </c>
      <c r="H55">
        <v>2</v>
      </c>
      <c r="I55" t="s">
        <v>407</v>
      </c>
      <c r="J55" t="s">
        <v>408</v>
      </c>
      <c r="K55">
        <v>130359</v>
      </c>
      <c r="L55">
        <v>2</v>
      </c>
      <c r="M55">
        <v>14494</v>
      </c>
      <c r="N55" t="s">
        <v>409</v>
      </c>
      <c r="O55" t="s">
        <v>410</v>
      </c>
      <c r="P55">
        <v>144067</v>
      </c>
      <c r="Q55">
        <v>2</v>
      </c>
      <c r="R55">
        <v>28202</v>
      </c>
      <c r="S55">
        <v>0.51400000000000001</v>
      </c>
      <c r="T55">
        <v>0.26700000000000002</v>
      </c>
      <c r="U55">
        <v>14</v>
      </c>
      <c r="V55">
        <v>1</v>
      </c>
      <c r="W55">
        <v>52</v>
      </c>
      <c r="X55">
        <v>38</v>
      </c>
      <c r="Y55">
        <v>0</v>
      </c>
      <c r="Z55">
        <v>32.18472222222222</v>
      </c>
      <c r="AA55">
        <v>36.210833333333333</v>
      </c>
      <c r="AB55" t="s">
        <v>47</v>
      </c>
      <c r="AC55">
        <v>32</v>
      </c>
      <c r="AD55">
        <v>29465</v>
      </c>
      <c r="AE55">
        <v>43959</v>
      </c>
      <c r="AF55">
        <v>52</v>
      </c>
      <c r="AG55">
        <v>1</v>
      </c>
      <c r="AH55">
        <v>0.26700000000000002</v>
      </c>
      <c r="AI55">
        <v>1</v>
      </c>
      <c r="AJ55">
        <v>6</v>
      </c>
      <c r="AK55">
        <v>14</v>
      </c>
      <c r="AL55">
        <v>8</v>
      </c>
    </row>
    <row r="56" spans="1:38" x14ac:dyDescent="0.35">
      <c r="A56" t="s">
        <v>411</v>
      </c>
      <c r="B56">
        <v>323475.79129999969</v>
      </c>
      <c r="C56">
        <v>6401219.8768000007</v>
      </c>
      <c r="D56">
        <v>2041965</v>
      </c>
      <c r="E56" t="s">
        <v>412</v>
      </c>
      <c r="F56" t="s">
        <v>413</v>
      </c>
      <c r="G56">
        <v>120225</v>
      </c>
      <c r="H56">
        <v>2</v>
      </c>
      <c r="I56" t="s">
        <v>414</v>
      </c>
      <c r="J56" t="s">
        <v>415</v>
      </c>
      <c r="K56">
        <v>134744</v>
      </c>
      <c r="L56">
        <v>2</v>
      </c>
      <c r="M56">
        <v>14519</v>
      </c>
      <c r="N56" t="s">
        <v>416</v>
      </c>
      <c r="O56" t="s">
        <v>417</v>
      </c>
      <c r="P56">
        <v>150031</v>
      </c>
      <c r="Q56">
        <v>2</v>
      </c>
      <c r="R56">
        <v>29806</v>
      </c>
      <c r="S56">
        <v>0.48699999999999999</v>
      </c>
      <c r="T56">
        <v>0.46</v>
      </c>
      <c r="U56">
        <v>35</v>
      </c>
      <c r="V56">
        <v>1</v>
      </c>
      <c r="W56">
        <v>75</v>
      </c>
      <c r="X56">
        <v>40</v>
      </c>
      <c r="Y56">
        <v>0</v>
      </c>
      <c r="Z56">
        <v>33.395833333333343</v>
      </c>
      <c r="AA56">
        <v>37.428888888888878</v>
      </c>
      <c r="AB56" t="s">
        <v>47</v>
      </c>
      <c r="AC56">
        <v>33</v>
      </c>
      <c r="AD56">
        <v>33825</v>
      </c>
      <c r="AE56">
        <v>48344</v>
      </c>
      <c r="AF56">
        <v>75</v>
      </c>
      <c r="AG56">
        <v>1</v>
      </c>
      <c r="AH56">
        <v>0.46</v>
      </c>
      <c r="AI56">
        <v>1</v>
      </c>
      <c r="AJ56">
        <v>7</v>
      </c>
      <c r="AK56">
        <v>15</v>
      </c>
      <c r="AL56">
        <v>8</v>
      </c>
    </row>
    <row r="57" spans="1:38" x14ac:dyDescent="0.35">
      <c r="A57" t="s">
        <v>418</v>
      </c>
      <c r="B57">
        <v>323475.79129999969</v>
      </c>
      <c r="C57">
        <v>6401219.8768000007</v>
      </c>
      <c r="D57">
        <v>1968463</v>
      </c>
      <c r="E57" t="s">
        <v>419</v>
      </c>
      <c r="F57" t="s">
        <v>420</v>
      </c>
      <c r="G57">
        <v>110878</v>
      </c>
      <c r="H57">
        <v>2</v>
      </c>
      <c r="I57" t="s">
        <v>421</v>
      </c>
      <c r="J57" t="s">
        <v>422</v>
      </c>
      <c r="K57">
        <v>125414</v>
      </c>
      <c r="L57">
        <v>2</v>
      </c>
      <c r="M57">
        <v>14536</v>
      </c>
      <c r="N57" t="s">
        <v>423</v>
      </c>
      <c r="O57" t="s">
        <v>424</v>
      </c>
      <c r="P57">
        <v>126336</v>
      </c>
      <c r="Q57">
        <v>2</v>
      </c>
      <c r="R57">
        <v>15458</v>
      </c>
      <c r="S57">
        <v>0.94</v>
      </c>
      <c r="T57">
        <v>6.3E-2</v>
      </c>
      <c r="U57">
        <v>3</v>
      </c>
      <c r="V57">
        <v>1</v>
      </c>
      <c r="W57">
        <v>42</v>
      </c>
      <c r="X57">
        <v>39</v>
      </c>
      <c r="Y57">
        <v>0</v>
      </c>
      <c r="Z57">
        <v>30.79944444444445</v>
      </c>
      <c r="AA57">
        <v>34.837222222222223</v>
      </c>
      <c r="AB57" t="s">
        <v>47</v>
      </c>
      <c r="AC57">
        <v>30</v>
      </c>
      <c r="AD57">
        <v>24478</v>
      </c>
      <c r="AE57">
        <v>39014</v>
      </c>
      <c r="AF57">
        <v>42</v>
      </c>
      <c r="AG57">
        <v>1</v>
      </c>
      <c r="AH57">
        <v>6.3E-2</v>
      </c>
      <c r="AI57">
        <v>1</v>
      </c>
      <c r="AJ57">
        <v>5</v>
      </c>
      <c r="AK57">
        <v>13</v>
      </c>
      <c r="AL57">
        <v>8</v>
      </c>
    </row>
    <row r="58" spans="1:38" x14ac:dyDescent="0.35">
      <c r="A58" t="s">
        <v>425</v>
      </c>
      <c r="B58">
        <v>323475.79129999969</v>
      </c>
      <c r="C58">
        <v>6401219.8768000007</v>
      </c>
      <c r="D58">
        <v>7491913</v>
      </c>
      <c r="E58" t="s">
        <v>426</v>
      </c>
      <c r="F58" t="s">
        <v>427</v>
      </c>
      <c r="G58">
        <v>118952</v>
      </c>
      <c r="H58">
        <v>2</v>
      </c>
      <c r="I58" t="s">
        <v>428</v>
      </c>
      <c r="J58" t="s">
        <v>429</v>
      </c>
      <c r="K58">
        <v>133499</v>
      </c>
      <c r="L58">
        <v>2</v>
      </c>
      <c r="M58">
        <v>14547</v>
      </c>
      <c r="N58" t="s">
        <v>430</v>
      </c>
      <c r="O58" t="s">
        <v>431</v>
      </c>
      <c r="P58">
        <v>149625</v>
      </c>
      <c r="Q58">
        <v>2</v>
      </c>
      <c r="R58">
        <v>30673</v>
      </c>
      <c r="S58">
        <v>0.47399999999999998</v>
      </c>
      <c r="T58">
        <v>0.45900000000000002</v>
      </c>
      <c r="U58">
        <v>34</v>
      </c>
      <c r="V58">
        <v>1</v>
      </c>
      <c r="W58">
        <v>75</v>
      </c>
      <c r="X58">
        <v>41</v>
      </c>
      <c r="Y58">
        <v>0</v>
      </c>
      <c r="Z58">
        <v>33.042222222222222</v>
      </c>
      <c r="AA58">
        <v>37.083055555555561</v>
      </c>
      <c r="AB58" t="s">
        <v>47</v>
      </c>
      <c r="AC58">
        <v>33</v>
      </c>
      <c r="AD58">
        <v>32552</v>
      </c>
      <c r="AE58">
        <v>47099</v>
      </c>
      <c r="AF58">
        <v>75</v>
      </c>
      <c r="AG58">
        <v>1</v>
      </c>
      <c r="AH58">
        <v>0.45900000000000002</v>
      </c>
      <c r="AI58">
        <v>1</v>
      </c>
      <c r="AJ58">
        <v>7</v>
      </c>
      <c r="AK58">
        <v>15</v>
      </c>
      <c r="AL58">
        <v>8</v>
      </c>
    </row>
    <row r="59" spans="1:38" x14ac:dyDescent="0.35">
      <c r="A59" t="s">
        <v>432</v>
      </c>
      <c r="B59">
        <v>323475.79129999969</v>
      </c>
      <c r="C59">
        <v>6401219.8768000007</v>
      </c>
      <c r="D59">
        <v>9412970</v>
      </c>
      <c r="E59" t="s">
        <v>433</v>
      </c>
      <c r="F59" t="s">
        <v>434</v>
      </c>
      <c r="G59">
        <v>133022</v>
      </c>
      <c r="H59">
        <v>2</v>
      </c>
      <c r="I59" t="s">
        <v>435</v>
      </c>
      <c r="J59" t="s">
        <v>436</v>
      </c>
      <c r="K59">
        <v>147574</v>
      </c>
      <c r="L59">
        <v>2</v>
      </c>
      <c r="M59">
        <v>14552</v>
      </c>
      <c r="N59" t="s">
        <v>437</v>
      </c>
      <c r="O59" t="s">
        <v>438</v>
      </c>
      <c r="P59">
        <v>148101</v>
      </c>
      <c r="Q59">
        <v>2</v>
      </c>
      <c r="R59">
        <v>15079</v>
      </c>
      <c r="S59">
        <v>0.96499999999999997</v>
      </c>
      <c r="T59">
        <v>0.45800000000000002</v>
      </c>
      <c r="U59">
        <v>34</v>
      </c>
      <c r="V59">
        <v>1</v>
      </c>
      <c r="W59">
        <v>75</v>
      </c>
      <c r="X59">
        <v>41</v>
      </c>
      <c r="Y59">
        <v>0</v>
      </c>
      <c r="Z59">
        <v>36.95055555555556</v>
      </c>
      <c r="AA59">
        <v>40.992777777777782</v>
      </c>
      <c r="AB59" t="s">
        <v>47</v>
      </c>
      <c r="AC59">
        <v>36</v>
      </c>
      <c r="AD59">
        <v>46622</v>
      </c>
      <c r="AE59">
        <v>61174</v>
      </c>
      <c r="AF59">
        <v>75</v>
      </c>
      <c r="AG59">
        <v>1</v>
      </c>
      <c r="AH59">
        <v>0.45800000000000002</v>
      </c>
      <c r="AI59">
        <v>1</v>
      </c>
      <c r="AJ59">
        <v>11</v>
      </c>
      <c r="AK59">
        <v>19</v>
      </c>
      <c r="AL59">
        <v>8</v>
      </c>
    </row>
    <row r="60" spans="1:38" x14ac:dyDescent="0.35">
      <c r="A60" t="s">
        <v>439</v>
      </c>
      <c r="B60">
        <v>323475.79129999969</v>
      </c>
      <c r="C60">
        <v>6401219.8768000007</v>
      </c>
      <c r="D60">
        <v>1943685</v>
      </c>
      <c r="E60" t="s">
        <v>440</v>
      </c>
      <c r="F60" t="s">
        <v>441</v>
      </c>
      <c r="G60">
        <v>121306</v>
      </c>
      <c r="H60">
        <v>2</v>
      </c>
      <c r="I60" t="s">
        <v>442</v>
      </c>
      <c r="J60" t="s">
        <v>443</v>
      </c>
      <c r="K60">
        <v>135894</v>
      </c>
      <c r="L60">
        <v>2</v>
      </c>
      <c r="M60">
        <v>14588</v>
      </c>
      <c r="N60" t="s">
        <v>444</v>
      </c>
      <c r="O60" t="s">
        <v>445</v>
      </c>
      <c r="P60">
        <v>150853</v>
      </c>
      <c r="Q60">
        <v>2</v>
      </c>
      <c r="R60">
        <v>29547</v>
      </c>
      <c r="S60">
        <v>0.49399999999999999</v>
      </c>
      <c r="T60">
        <v>5.8999999999999997E-2</v>
      </c>
      <c r="U60">
        <v>2</v>
      </c>
      <c r="V60">
        <v>1</v>
      </c>
      <c r="W60">
        <v>42</v>
      </c>
      <c r="X60">
        <v>40</v>
      </c>
      <c r="Y60">
        <v>0</v>
      </c>
      <c r="Z60">
        <v>33.696111111111108</v>
      </c>
      <c r="AA60">
        <v>37.748333333333328</v>
      </c>
      <c r="AB60" t="s">
        <v>47</v>
      </c>
      <c r="AC60">
        <v>33</v>
      </c>
      <c r="AD60">
        <v>34906</v>
      </c>
      <c r="AE60">
        <v>49494</v>
      </c>
      <c r="AF60">
        <v>42</v>
      </c>
      <c r="AG60">
        <v>1</v>
      </c>
      <c r="AH60">
        <v>5.8999999999999997E-2</v>
      </c>
      <c r="AI60">
        <v>1</v>
      </c>
      <c r="AJ60">
        <v>8</v>
      </c>
      <c r="AK60">
        <v>16</v>
      </c>
      <c r="AL60">
        <v>8</v>
      </c>
    </row>
    <row r="61" spans="1:38" x14ac:dyDescent="0.35">
      <c r="A61" t="s">
        <v>446</v>
      </c>
      <c r="B61">
        <v>323475.79129999969</v>
      </c>
      <c r="C61">
        <v>6401219.8768000007</v>
      </c>
      <c r="D61">
        <v>7369122</v>
      </c>
      <c r="E61" t="s">
        <v>447</v>
      </c>
      <c r="F61" t="s">
        <v>448</v>
      </c>
      <c r="G61">
        <v>120702</v>
      </c>
      <c r="H61">
        <v>2</v>
      </c>
      <c r="I61" t="s">
        <v>449</v>
      </c>
      <c r="J61" t="s">
        <v>450</v>
      </c>
      <c r="K61">
        <v>135329</v>
      </c>
      <c r="L61">
        <v>2</v>
      </c>
      <c r="M61">
        <v>14627</v>
      </c>
      <c r="N61" t="s">
        <v>451</v>
      </c>
      <c r="O61" t="s">
        <v>452</v>
      </c>
      <c r="P61">
        <v>149330</v>
      </c>
      <c r="Q61">
        <v>2</v>
      </c>
      <c r="R61">
        <v>28628</v>
      </c>
      <c r="S61">
        <v>0.51100000000000001</v>
      </c>
      <c r="T61">
        <v>0.45600000000000002</v>
      </c>
      <c r="U61">
        <v>34</v>
      </c>
      <c r="V61">
        <v>1</v>
      </c>
      <c r="W61">
        <v>75</v>
      </c>
      <c r="X61">
        <v>41</v>
      </c>
      <c r="Y61">
        <v>0</v>
      </c>
      <c r="Z61">
        <v>33.528333333333329</v>
      </c>
      <c r="AA61">
        <v>37.591388888888893</v>
      </c>
      <c r="AB61" t="s">
        <v>47</v>
      </c>
      <c r="AC61">
        <v>33</v>
      </c>
      <c r="AD61">
        <v>34302</v>
      </c>
      <c r="AE61">
        <v>48929</v>
      </c>
      <c r="AF61">
        <v>75</v>
      </c>
      <c r="AG61">
        <v>1</v>
      </c>
      <c r="AH61">
        <v>0.45600000000000002</v>
      </c>
      <c r="AI61">
        <v>1</v>
      </c>
      <c r="AJ61">
        <v>8</v>
      </c>
      <c r="AK61">
        <v>16</v>
      </c>
      <c r="AL61">
        <v>8</v>
      </c>
    </row>
    <row r="62" spans="1:38" x14ac:dyDescent="0.35">
      <c r="A62" t="s">
        <v>453</v>
      </c>
      <c r="B62">
        <v>323475.79129999969</v>
      </c>
      <c r="C62">
        <v>6401219.8768000007</v>
      </c>
      <c r="D62">
        <v>4736479</v>
      </c>
      <c r="E62" t="s">
        <v>454</v>
      </c>
      <c r="F62" t="s">
        <v>455</v>
      </c>
      <c r="G62">
        <v>128725</v>
      </c>
      <c r="H62">
        <v>2</v>
      </c>
      <c r="I62" t="s">
        <v>456</v>
      </c>
      <c r="J62" t="s">
        <v>457</v>
      </c>
      <c r="K62">
        <v>143383</v>
      </c>
      <c r="L62">
        <v>2</v>
      </c>
      <c r="M62">
        <v>14658</v>
      </c>
      <c r="N62" t="s">
        <v>456</v>
      </c>
      <c r="O62" t="s">
        <v>457</v>
      </c>
      <c r="P62">
        <v>143383</v>
      </c>
      <c r="Q62">
        <v>2</v>
      </c>
      <c r="R62">
        <v>14658</v>
      </c>
      <c r="S62">
        <v>1</v>
      </c>
      <c r="T62">
        <v>0.11700000000000001</v>
      </c>
      <c r="U62">
        <v>7</v>
      </c>
      <c r="V62">
        <v>0.86299999999999999</v>
      </c>
      <c r="W62">
        <v>52</v>
      </c>
      <c r="X62">
        <v>45</v>
      </c>
      <c r="Y62">
        <v>0</v>
      </c>
      <c r="Z62">
        <v>35.756944444444443</v>
      </c>
      <c r="AA62">
        <v>39.828611111111123</v>
      </c>
      <c r="AB62" t="s">
        <v>47</v>
      </c>
      <c r="AC62">
        <v>35</v>
      </c>
      <c r="AD62">
        <v>42325</v>
      </c>
      <c r="AE62">
        <v>56983</v>
      </c>
      <c r="AF62">
        <v>60.25492468134415</v>
      </c>
      <c r="AG62">
        <v>0.86299999999999999</v>
      </c>
      <c r="AH62">
        <v>0.11700000000000001</v>
      </c>
      <c r="AI62">
        <v>1</v>
      </c>
      <c r="AJ62">
        <v>10</v>
      </c>
      <c r="AK62">
        <v>18</v>
      </c>
      <c r="AL62">
        <v>8</v>
      </c>
    </row>
    <row r="63" spans="1:38" x14ac:dyDescent="0.35">
      <c r="A63" t="s">
        <v>458</v>
      </c>
      <c r="B63">
        <v>323475.79129999969</v>
      </c>
      <c r="C63">
        <v>6401219.8768000007</v>
      </c>
      <c r="D63">
        <v>2126159</v>
      </c>
      <c r="E63" t="s">
        <v>459</v>
      </c>
      <c r="F63" t="s">
        <v>460</v>
      </c>
      <c r="G63">
        <v>126540</v>
      </c>
      <c r="H63">
        <v>2</v>
      </c>
      <c r="I63" t="s">
        <v>461</v>
      </c>
      <c r="J63" t="s">
        <v>462</v>
      </c>
      <c r="K63">
        <v>141209</v>
      </c>
      <c r="L63">
        <v>2</v>
      </c>
      <c r="M63">
        <v>14669</v>
      </c>
      <c r="N63" t="s">
        <v>463</v>
      </c>
      <c r="O63" t="s">
        <v>464</v>
      </c>
      <c r="P63">
        <v>145713</v>
      </c>
      <c r="Q63">
        <v>2</v>
      </c>
      <c r="R63">
        <v>19173</v>
      </c>
      <c r="S63">
        <v>0.76500000000000001</v>
      </c>
      <c r="T63">
        <v>5.3999999999999999E-2</v>
      </c>
      <c r="U63">
        <v>2</v>
      </c>
      <c r="V63">
        <v>1</v>
      </c>
      <c r="W63">
        <v>42</v>
      </c>
      <c r="X63">
        <v>40</v>
      </c>
      <c r="Y63">
        <v>0</v>
      </c>
      <c r="Z63">
        <v>35.15</v>
      </c>
      <c r="AA63">
        <v>39.224722222222233</v>
      </c>
      <c r="AB63" t="s">
        <v>47</v>
      </c>
      <c r="AC63">
        <v>35</v>
      </c>
      <c r="AD63">
        <v>40140</v>
      </c>
      <c r="AE63">
        <v>54809</v>
      </c>
      <c r="AF63">
        <v>42</v>
      </c>
      <c r="AG63">
        <v>1</v>
      </c>
      <c r="AH63">
        <v>5.3999999999999999E-2</v>
      </c>
      <c r="AI63">
        <v>1</v>
      </c>
      <c r="AJ63">
        <v>9</v>
      </c>
      <c r="AK63">
        <v>17</v>
      </c>
      <c r="AL63">
        <v>8</v>
      </c>
    </row>
    <row r="64" spans="1:38" x14ac:dyDescent="0.35">
      <c r="A64" t="s">
        <v>465</v>
      </c>
      <c r="B64">
        <v>323475.79129999969</v>
      </c>
      <c r="C64">
        <v>6401219.8768000007</v>
      </c>
      <c r="D64">
        <v>7422158</v>
      </c>
      <c r="E64" t="s">
        <v>466</v>
      </c>
      <c r="F64" t="s">
        <v>467</v>
      </c>
      <c r="G64">
        <v>116326</v>
      </c>
      <c r="H64">
        <v>2</v>
      </c>
      <c r="I64" t="s">
        <v>468</v>
      </c>
      <c r="J64" t="s">
        <v>469</v>
      </c>
      <c r="K64">
        <v>131019</v>
      </c>
      <c r="L64">
        <v>2</v>
      </c>
      <c r="M64">
        <v>14693</v>
      </c>
      <c r="N64" t="s">
        <v>470</v>
      </c>
      <c r="O64" t="s">
        <v>471</v>
      </c>
      <c r="P64">
        <v>146972</v>
      </c>
      <c r="Q64">
        <v>2</v>
      </c>
      <c r="R64">
        <v>30646</v>
      </c>
      <c r="S64">
        <v>0.47899999999999998</v>
      </c>
      <c r="T64">
        <v>0.34799999999999998</v>
      </c>
      <c r="U64">
        <v>21</v>
      </c>
      <c r="V64">
        <v>1</v>
      </c>
      <c r="W64">
        <v>60</v>
      </c>
      <c r="X64">
        <v>39</v>
      </c>
      <c r="Y64">
        <v>0</v>
      </c>
      <c r="Z64">
        <v>32.312777777777782</v>
      </c>
      <c r="AA64">
        <v>36.394166666666663</v>
      </c>
      <c r="AB64" t="s">
        <v>47</v>
      </c>
      <c r="AC64">
        <v>32</v>
      </c>
      <c r="AD64">
        <v>29926</v>
      </c>
      <c r="AE64">
        <v>44619</v>
      </c>
      <c r="AF64">
        <v>60</v>
      </c>
      <c r="AG64">
        <v>1</v>
      </c>
      <c r="AH64">
        <v>0.34799999999999998</v>
      </c>
      <c r="AI64">
        <v>1</v>
      </c>
      <c r="AJ64">
        <v>6</v>
      </c>
      <c r="AK64">
        <v>14</v>
      </c>
      <c r="AL64">
        <v>8</v>
      </c>
    </row>
    <row r="65" spans="1:38" x14ac:dyDescent="0.35">
      <c r="A65" t="s">
        <v>472</v>
      </c>
      <c r="B65">
        <v>323475.79129999969</v>
      </c>
      <c r="C65">
        <v>6401219.8768000007</v>
      </c>
      <c r="D65">
        <v>4739092</v>
      </c>
      <c r="E65" t="s">
        <v>473</v>
      </c>
      <c r="F65" t="s">
        <v>474</v>
      </c>
      <c r="G65">
        <v>131283</v>
      </c>
      <c r="H65">
        <v>2</v>
      </c>
      <c r="I65" t="s">
        <v>475</v>
      </c>
      <c r="J65" t="s">
        <v>476</v>
      </c>
      <c r="K65">
        <v>145985</v>
      </c>
      <c r="L65">
        <v>2</v>
      </c>
      <c r="M65">
        <v>14702</v>
      </c>
      <c r="N65" t="s">
        <v>475</v>
      </c>
      <c r="O65" t="s">
        <v>476</v>
      </c>
      <c r="P65">
        <v>145985</v>
      </c>
      <c r="Q65">
        <v>2</v>
      </c>
      <c r="R65">
        <v>14702</v>
      </c>
      <c r="S65">
        <v>1</v>
      </c>
      <c r="T65">
        <v>0.42399999999999999</v>
      </c>
      <c r="U65">
        <v>32</v>
      </c>
      <c r="V65">
        <v>0.997</v>
      </c>
      <c r="W65">
        <v>75</v>
      </c>
      <c r="X65">
        <v>43</v>
      </c>
      <c r="Y65">
        <v>0</v>
      </c>
      <c r="Z65">
        <v>36.467500000000001</v>
      </c>
      <c r="AA65">
        <v>40.551388888888887</v>
      </c>
      <c r="AB65" t="s">
        <v>47</v>
      </c>
      <c r="AC65">
        <v>36</v>
      </c>
      <c r="AD65">
        <v>44883</v>
      </c>
      <c r="AE65">
        <v>59585</v>
      </c>
      <c r="AF65">
        <v>75.225677031093284</v>
      </c>
      <c r="AG65">
        <v>0.997</v>
      </c>
      <c r="AH65">
        <v>0.42399999999999999</v>
      </c>
      <c r="AI65">
        <v>1</v>
      </c>
      <c r="AJ65">
        <v>10</v>
      </c>
      <c r="AK65">
        <v>19</v>
      </c>
      <c r="AL65">
        <v>9</v>
      </c>
    </row>
    <row r="66" spans="1:38" x14ac:dyDescent="0.35">
      <c r="A66" t="s">
        <v>477</v>
      </c>
      <c r="B66">
        <v>323475.79129999969</v>
      </c>
      <c r="C66">
        <v>6401219.8768000007</v>
      </c>
      <c r="D66">
        <v>7373234</v>
      </c>
      <c r="E66" t="s">
        <v>478</v>
      </c>
      <c r="F66" t="s">
        <v>479</v>
      </c>
      <c r="G66">
        <v>115859</v>
      </c>
      <c r="H66">
        <v>2</v>
      </c>
      <c r="I66" t="s">
        <v>480</v>
      </c>
      <c r="J66" t="s">
        <v>481</v>
      </c>
      <c r="K66">
        <v>130569</v>
      </c>
      <c r="L66">
        <v>2</v>
      </c>
      <c r="M66">
        <v>14710</v>
      </c>
      <c r="N66" t="s">
        <v>482</v>
      </c>
      <c r="O66" t="s">
        <v>483</v>
      </c>
      <c r="P66">
        <v>131046</v>
      </c>
      <c r="Q66">
        <v>2</v>
      </c>
      <c r="R66">
        <v>15187</v>
      </c>
      <c r="S66">
        <v>0.96899999999999997</v>
      </c>
      <c r="T66">
        <v>0.34699999999999998</v>
      </c>
      <c r="U66">
        <v>21</v>
      </c>
      <c r="V66">
        <v>1</v>
      </c>
      <c r="W66">
        <v>60</v>
      </c>
      <c r="X66">
        <v>39</v>
      </c>
      <c r="Y66">
        <v>0</v>
      </c>
      <c r="Z66">
        <v>32.183055555555548</v>
      </c>
      <c r="AA66">
        <v>36.269166666666663</v>
      </c>
      <c r="AB66" t="s">
        <v>47</v>
      </c>
      <c r="AC66">
        <v>32</v>
      </c>
      <c r="AD66">
        <v>29459</v>
      </c>
      <c r="AE66">
        <v>44169</v>
      </c>
      <c r="AF66">
        <v>60</v>
      </c>
      <c r="AG66">
        <v>1</v>
      </c>
      <c r="AH66">
        <v>0.34699999999999998</v>
      </c>
      <c r="AI66">
        <v>1</v>
      </c>
      <c r="AJ66">
        <v>6</v>
      </c>
      <c r="AK66">
        <v>14</v>
      </c>
      <c r="AL66">
        <v>8</v>
      </c>
    </row>
    <row r="67" spans="1:38" x14ac:dyDescent="0.35">
      <c r="A67" t="s">
        <v>484</v>
      </c>
      <c r="B67">
        <v>323475.79129999969</v>
      </c>
      <c r="C67">
        <v>6401219.8768000007</v>
      </c>
      <c r="D67">
        <v>2046331</v>
      </c>
      <c r="E67" t="s">
        <v>485</v>
      </c>
      <c r="F67" t="s">
        <v>486</v>
      </c>
      <c r="G67">
        <v>115217</v>
      </c>
      <c r="H67">
        <v>2</v>
      </c>
      <c r="I67" t="s">
        <v>487</v>
      </c>
      <c r="J67" t="s">
        <v>488</v>
      </c>
      <c r="K67">
        <v>129989</v>
      </c>
      <c r="L67">
        <v>2</v>
      </c>
      <c r="M67">
        <v>14772</v>
      </c>
      <c r="N67" t="s">
        <v>489</v>
      </c>
      <c r="O67" t="s">
        <v>490</v>
      </c>
      <c r="P67">
        <v>147114</v>
      </c>
      <c r="Q67">
        <v>2</v>
      </c>
      <c r="R67">
        <v>31897</v>
      </c>
      <c r="S67">
        <v>0.46300000000000002</v>
      </c>
      <c r="T67">
        <v>0.45</v>
      </c>
      <c r="U67">
        <v>34</v>
      </c>
      <c r="V67">
        <v>1</v>
      </c>
      <c r="W67">
        <v>75</v>
      </c>
      <c r="X67">
        <v>41</v>
      </c>
      <c r="Y67">
        <v>0</v>
      </c>
      <c r="Z67">
        <v>32.00472222222222</v>
      </c>
      <c r="AA67">
        <v>36.108055555555559</v>
      </c>
      <c r="AB67" t="s">
        <v>47</v>
      </c>
      <c r="AC67">
        <v>32</v>
      </c>
      <c r="AD67">
        <v>28817</v>
      </c>
      <c r="AE67">
        <v>43589</v>
      </c>
      <c r="AF67">
        <v>75</v>
      </c>
      <c r="AG67">
        <v>1</v>
      </c>
      <c r="AH67">
        <v>0.45</v>
      </c>
      <c r="AI67">
        <v>1</v>
      </c>
      <c r="AJ67">
        <v>6</v>
      </c>
      <c r="AK67">
        <v>14</v>
      </c>
      <c r="AL67">
        <v>8</v>
      </c>
    </row>
    <row r="68" spans="1:38" x14ac:dyDescent="0.35">
      <c r="A68" t="s">
        <v>491</v>
      </c>
      <c r="B68">
        <v>323475.79129999969</v>
      </c>
      <c r="C68">
        <v>6401219.8768000007</v>
      </c>
      <c r="D68">
        <v>9523093</v>
      </c>
      <c r="E68" t="s">
        <v>492</v>
      </c>
      <c r="F68" t="s">
        <v>493</v>
      </c>
      <c r="G68">
        <v>127968</v>
      </c>
      <c r="H68">
        <v>2</v>
      </c>
      <c r="I68" t="s">
        <v>494</v>
      </c>
      <c r="J68" t="s">
        <v>495</v>
      </c>
      <c r="K68">
        <v>142789</v>
      </c>
      <c r="L68">
        <v>2</v>
      </c>
      <c r="M68">
        <v>14821</v>
      </c>
      <c r="N68" t="s">
        <v>496</v>
      </c>
      <c r="O68" t="s">
        <v>497</v>
      </c>
      <c r="P68">
        <v>152308</v>
      </c>
      <c r="Q68">
        <v>2</v>
      </c>
      <c r="R68">
        <v>24340</v>
      </c>
      <c r="S68">
        <v>0.60899999999999999</v>
      </c>
      <c r="T68">
        <v>0.44800000000000001</v>
      </c>
      <c r="U68">
        <v>34</v>
      </c>
      <c r="V68">
        <v>1</v>
      </c>
      <c r="W68">
        <v>75</v>
      </c>
      <c r="X68">
        <v>41</v>
      </c>
      <c r="Y68">
        <v>0</v>
      </c>
      <c r="Z68">
        <v>35.546666666666667</v>
      </c>
      <c r="AA68">
        <v>39.663611111111109</v>
      </c>
      <c r="AB68" t="s">
        <v>47</v>
      </c>
      <c r="AC68">
        <v>35</v>
      </c>
      <c r="AD68">
        <v>41568</v>
      </c>
      <c r="AE68">
        <v>56389</v>
      </c>
      <c r="AF68">
        <v>75</v>
      </c>
      <c r="AG68">
        <v>1</v>
      </c>
      <c r="AH68">
        <v>0.44800000000000001</v>
      </c>
      <c r="AI68">
        <v>1</v>
      </c>
      <c r="AJ68">
        <v>10</v>
      </c>
      <c r="AK68">
        <v>18</v>
      </c>
      <c r="AL68">
        <v>8</v>
      </c>
    </row>
    <row r="69" spans="1:38" x14ac:dyDescent="0.35">
      <c r="A69" t="s">
        <v>498</v>
      </c>
      <c r="B69">
        <v>323475.79129999969</v>
      </c>
      <c r="C69">
        <v>6401219.8768000007</v>
      </c>
      <c r="D69">
        <v>4662439</v>
      </c>
      <c r="E69" t="s">
        <v>499</v>
      </c>
      <c r="F69" t="s">
        <v>500</v>
      </c>
      <c r="G69">
        <v>110293</v>
      </c>
      <c r="H69">
        <v>2</v>
      </c>
      <c r="I69" t="s">
        <v>501</v>
      </c>
      <c r="J69" t="s">
        <v>502</v>
      </c>
      <c r="K69">
        <v>125119</v>
      </c>
      <c r="L69">
        <v>2</v>
      </c>
      <c r="M69">
        <v>14826</v>
      </c>
      <c r="N69" t="s">
        <v>503</v>
      </c>
      <c r="O69" t="s">
        <v>504</v>
      </c>
      <c r="P69">
        <v>142627</v>
      </c>
      <c r="Q69">
        <v>2</v>
      </c>
      <c r="R69">
        <v>32334</v>
      </c>
      <c r="S69">
        <v>0.45900000000000002</v>
      </c>
      <c r="T69">
        <v>0.44700000000000001</v>
      </c>
      <c r="U69">
        <v>34</v>
      </c>
      <c r="V69">
        <v>1</v>
      </c>
      <c r="W69">
        <v>75</v>
      </c>
      <c r="X69">
        <v>41</v>
      </c>
      <c r="Y69">
        <v>0</v>
      </c>
      <c r="Z69">
        <v>30.636944444444449</v>
      </c>
      <c r="AA69">
        <v>34.755277777777778</v>
      </c>
      <c r="AB69" t="s">
        <v>47</v>
      </c>
      <c r="AC69">
        <v>30</v>
      </c>
      <c r="AD69">
        <v>23893</v>
      </c>
      <c r="AE69">
        <v>38719</v>
      </c>
      <c r="AF69">
        <v>75</v>
      </c>
      <c r="AG69">
        <v>1</v>
      </c>
      <c r="AH69">
        <v>0.44700000000000001</v>
      </c>
      <c r="AI69">
        <v>1</v>
      </c>
      <c r="AJ69">
        <v>5</v>
      </c>
      <c r="AK69">
        <v>13</v>
      </c>
      <c r="AL69">
        <v>8</v>
      </c>
    </row>
    <row r="70" spans="1:38" x14ac:dyDescent="0.35">
      <c r="A70" t="s">
        <v>505</v>
      </c>
      <c r="B70">
        <v>323475.79129999969</v>
      </c>
      <c r="C70">
        <v>6401219.8768000007</v>
      </c>
      <c r="D70">
        <v>9543013</v>
      </c>
      <c r="E70" t="s">
        <v>506</v>
      </c>
      <c r="F70" t="s">
        <v>507</v>
      </c>
      <c r="G70">
        <v>112041</v>
      </c>
      <c r="H70">
        <v>2</v>
      </c>
      <c r="I70" t="s">
        <v>508</v>
      </c>
      <c r="J70" t="s">
        <v>509</v>
      </c>
      <c r="K70">
        <v>126904</v>
      </c>
      <c r="L70">
        <v>2</v>
      </c>
      <c r="M70">
        <v>14863</v>
      </c>
      <c r="N70" t="s">
        <v>510</v>
      </c>
      <c r="O70" t="s">
        <v>511</v>
      </c>
      <c r="P70">
        <v>143566</v>
      </c>
      <c r="Q70">
        <v>2</v>
      </c>
      <c r="R70">
        <v>31525</v>
      </c>
      <c r="S70">
        <v>0.47099999999999997</v>
      </c>
      <c r="T70">
        <v>3.9E-2</v>
      </c>
      <c r="U70">
        <v>2</v>
      </c>
      <c r="V70">
        <v>1</v>
      </c>
      <c r="W70">
        <v>42</v>
      </c>
      <c r="X70">
        <v>40</v>
      </c>
      <c r="Y70">
        <v>0</v>
      </c>
      <c r="Z70">
        <v>31.122499999999999</v>
      </c>
      <c r="AA70">
        <v>35.251111111111108</v>
      </c>
      <c r="AB70" t="s">
        <v>47</v>
      </c>
      <c r="AC70">
        <v>31</v>
      </c>
      <c r="AD70">
        <v>25641</v>
      </c>
      <c r="AE70">
        <v>40504</v>
      </c>
      <c r="AF70">
        <v>42</v>
      </c>
      <c r="AG70">
        <v>1</v>
      </c>
      <c r="AH70">
        <v>3.9E-2</v>
      </c>
      <c r="AI70">
        <v>1</v>
      </c>
      <c r="AJ70">
        <v>5</v>
      </c>
      <c r="AK70">
        <v>13</v>
      </c>
      <c r="AL70">
        <v>8</v>
      </c>
    </row>
    <row r="71" spans="1:38" x14ac:dyDescent="0.35">
      <c r="A71" t="s">
        <v>512</v>
      </c>
      <c r="B71">
        <v>323475.79129999969</v>
      </c>
      <c r="C71">
        <v>6401219.8768000007</v>
      </c>
      <c r="D71">
        <v>9553363</v>
      </c>
      <c r="E71" t="s">
        <v>513</v>
      </c>
      <c r="F71" t="s">
        <v>514</v>
      </c>
      <c r="G71">
        <v>107354</v>
      </c>
      <c r="H71">
        <v>2</v>
      </c>
      <c r="I71" t="s">
        <v>515</v>
      </c>
      <c r="J71" t="s">
        <v>516</v>
      </c>
      <c r="K71">
        <v>122259</v>
      </c>
      <c r="L71">
        <v>2</v>
      </c>
      <c r="M71">
        <v>14905</v>
      </c>
      <c r="N71" t="s">
        <v>517</v>
      </c>
      <c r="O71" t="s">
        <v>518</v>
      </c>
      <c r="P71">
        <v>142924</v>
      </c>
      <c r="Q71">
        <v>2</v>
      </c>
      <c r="R71">
        <v>35570</v>
      </c>
      <c r="S71">
        <v>0.41899999999999998</v>
      </c>
      <c r="T71">
        <v>0.24299999999999999</v>
      </c>
      <c r="U71">
        <v>13</v>
      </c>
      <c r="V71">
        <v>1</v>
      </c>
      <c r="W71">
        <v>52</v>
      </c>
      <c r="X71">
        <v>39</v>
      </c>
      <c r="Y71">
        <v>0</v>
      </c>
      <c r="Z71">
        <v>29.820555555555561</v>
      </c>
      <c r="AA71">
        <v>33.960833333333333</v>
      </c>
      <c r="AB71" t="s">
        <v>47</v>
      </c>
      <c r="AC71">
        <v>29</v>
      </c>
      <c r="AD71">
        <v>20954</v>
      </c>
      <c r="AE71">
        <v>35859</v>
      </c>
      <c r="AF71">
        <v>52</v>
      </c>
      <c r="AG71">
        <v>1</v>
      </c>
      <c r="AH71">
        <v>0.24299999999999999</v>
      </c>
      <c r="AI71">
        <v>1</v>
      </c>
      <c r="AJ71">
        <v>4</v>
      </c>
      <c r="AK71">
        <v>12</v>
      </c>
      <c r="AL71">
        <v>8</v>
      </c>
    </row>
    <row r="72" spans="1:38" x14ac:dyDescent="0.35">
      <c r="A72" t="s">
        <v>519</v>
      </c>
      <c r="B72">
        <v>323475.79129999969</v>
      </c>
      <c r="C72">
        <v>6401219.8768000007</v>
      </c>
      <c r="D72">
        <v>1876446</v>
      </c>
      <c r="E72" t="s">
        <v>520</v>
      </c>
      <c r="F72" t="s">
        <v>521</v>
      </c>
      <c r="G72">
        <v>107308</v>
      </c>
      <c r="H72">
        <v>2</v>
      </c>
      <c r="I72" t="s">
        <v>522</v>
      </c>
      <c r="J72" t="s">
        <v>523</v>
      </c>
      <c r="K72">
        <v>122214</v>
      </c>
      <c r="L72">
        <v>2</v>
      </c>
      <c r="M72">
        <v>14906</v>
      </c>
      <c r="N72" t="s">
        <v>524</v>
      </c>
      <c r="O72" t="s">
        <v>525</v>
      </c>
      <c r="P72">
        <v>124061</v>
      </c>
      <c r="Q72">
        <v>2</v>
      </c>
      <c r="R72">
        <v>16753</v>
      </c>
      <c r="S72">
        <v>0.89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0</v>
      </c>
      <c r="Z72">
        <v>29.80777777777778</v>
      </c>
      <c r="AA72">
        <v>33.948333333333331</v>
      </c>
      <c r="AB72" t="s">
        <v>47</v>
      </c>
      <c r="AC72">
        <v>29</v>
      </c>
      <c r="AD72">
        <v>20908</v>
      </c>
      <c r="AE72">
        <v>35814</v>
      </c>
      <c r="AF72">
        <v>60</v>
      </c>
      <c r="AG72">
        <v>1</v>
      </c>
      <c r="AH72">
        <v>0.33700000000000002</v>
      </c>
      <c r="AI72">
        <v>1</v>
      </c>
      <c r="AJ72">
        <v>4</v>
      </c>
      <c r="AK72">
        <v>12</v>
      </c>
      <c r="AL72">
        <v>8</v>
      </c>
    </row>
    <row r="73" spans="1:38" x14ac:dyDescent="0.35">
      <c r="A73" t="s">
        <v>526</v>
      </c>
      <c r="B73">
        <v>323475.79129999969</v>
      </c>
      <c r="C73">
        <v>6401219.8768000007</v>
      </c>
      <c r="D73">
        <v>2108847</v>
      </c>
      <c r="E73" t="s">
        <v>527</v>
      </c>
      <c r="F73" t="s">
        <v>528</v>
      </c>
      <c r="G73">
        <v>128208</v>
      </c>
      <c r="H73">
        <v>2</v>
      </c>
      <c r="I73" t="s">
        <v>529</v>
      </c>
      <c r="J73" t="s">
        <v>530</v>
      </c>
      <c r="K73">
        <v>143114</v>
      </c>
      <c r="L73">
        <v>2</v>
      </c>
      <c r="M73">
        <v>14906</v>
      </c>
      <c r="N73" t="s">
        <v>531</v>
      </c>
      <c r="O73" t="s">
        <v>532</v>
      </c>
      <c r="P73">
        <v>151650</v>
      </c>
      <c r="Q73">
        <v>2</v>
      </c>
      <c r="R73">
        <v>23442</v>
      </c>
      <c r="S73">
        <v>0.63600000000000001</v>
      </c>
      <c r="T73">
        <v>0.44400000000000001</v>
      </c>
      <c r="U73">
        <v>33</v>
      </c>
      <c r="V73">
        <v>1</v>
      </c>
      <c r="W73">
        <v>75</v>
      </c>
      <c r="X73">
        <v>42</v>
      </c>
      <c r="Y73">
        <v>0</v>
      </c>
      <c r="Z73">
        <v>35.613333333333337</v>
      </c>
      <c r="AA73">
        <v>39.753888888888888</v>
      </c>
      <c r="AB73" t="s">
        <v>47</v>
      </c>
      <c r="AC73">
        <v>35</v>
      </c>
      <c r="AD73">
        <v>41808</v>
      </c>
      <c r="AE73">
        <v>56714</v>
      </c>
      <c r="AF73">
        <v>75</v>
      </c>
      <c r="AG73">
        <v>1</v>
      </c>
      <c r="AH73">
        <v>0.44400000000000001</v>
      </c>
      <c r="AI73">
        <v>1</v>
      </c>
      <c r="AJ73">
        <v>10</v>
      </c>
      <c r="AK73">
        <v>18</v>
      </c>
      <c r="AL73">
        <v>8</v>
      </c>
    </row>
    <row r="74" spans="1:38" x14ac:dyDescent="0.35">
      <c r="A74" t="s">
        <v>533</v>
      </c>
      <c r="B74">
        <v>323475.79129999969</v>
      </c>
      <c r="C74">
        <v>6401219.8768000007</v>
      </c>
      <c r="D74">
        <v>2016869</v>
      </c>
      <c r="E74" t="s">
        <v>534</v>
      </c>
      <c r="F74" t="s">
        <v>535</v>
      </c>
      <c r="G74">
        <v>124222</v>
      </c>
      <c r="H74">
        <v>2</v>
      </c>
      <c r="I74" t="s">
        <v>536</v>
      </c>
      <c r="J74" t="s">
        <v>537</v>
      </c>
      <c r="K74">
        <v>139139</v>
      </c>
      <c r="L74">
        <v>2</v>
      </c>
      <c r="M74">
        <v>14917</v>
      </c>
      <c r="N74" t="s">
        <v>538</v>
      </c>
      <c r="O74" t="s">
        <v>539</v>
      </c>
      <c r="P74">
        <v>147326</v>
      </c>
      <c r="Q74">
        <v>2</v>
      </c>
      <c r="R74">
        <v>23104</v>
      </c>
      <c r="S74">
        <v>0.64600000000000002</v>
      </c>
      <c r="T74">
        <v>0.24199999999999999</v>
      </c>
      <c r="U74">
        <v>13</v>
      </c>
      <c r="V74">
        <v>1</v>
      </c>
      <c r="W74">
        <v>52</v>
      </c>
      <c r="X74">
        <v>39</v>
      </c>
      <c r="Y74">
        <v>0</v>
      </c>
      <c r="Z74">
        <v>34.50611111111111</v>
      </c>
      <c r="AA74">
        <v>38.649722222222223</v>
      </c>
      <c r="AB74" t="s">
        <v>47</v>
      </c>
      <c r="AC74">
        <v>34</v>
      </c>
      <c r="AD74">
        <v>37822</v>
      </c>
      <c r="AE74">
        <v>52739</v>
      </c>
      <c r="AF74">
        <v>52</v>
      </c>
      <c r="AG74">
        <v>1</v>
      </c>
      <c r="AH74">
        <v>0.24199999999999999</v>
      </c>
      <c r="AI74">
        <v>1</v>
      </c>
      <c r="AJ74">
        <v>9</v>
      </c>
      <c r="AK74">
        <v>17</v>
      </c>
      <c r="AL74">
        <v>8</v>
      </c>
    </row>
    <row r="75" spans="1:38" x14ac:dyDescent="0.35">
      <c r="A75" t="s">
        <v>540</v>
      </c>
      <c r="B75">
        <v>323475.79129999969</v>
      </c>
      <c r="C75">
        <v>6401219.8768000007</v>
      </c>
      <c r="D75">
        <v>4737853</v>
      </c>
      <c r="E75" t="s">
        <v>541</v>
      </c>
      <c r="F75" t="s">
        <v>542</v>
      </c>
      <c r="G75">
        <v>116510</v>
      </c>
      <c r="H75">
        <v>2</v>
      </c>
      <c r="I75" t="s">
        <v>543</v>
      </c>
      <c r="J75" t="s">
        <v>544</v>
      </c>
      <c r="K75">
        <v>131459</v>
      </c>
      <c r="L75">
        <v>2</v>
      </c>
      <c r="M75">
        <v>14949</v>
      </c>
      <c r="N75" t="s">
        <v>545</v>
      </c>
      <c r="O75" t="s">
        <v>546</v>
      </c>
      <c r="P75">
        <v>143532</v>
      </c>
      <c r="Q75">
        <v>2</v>
      </c>
      <c r="R75">
        <v>27022</v>
      </c>
      <c r="S75">
        <v>0.55300000000000005</v>
      </c>
      <c r="T75">
        <v>0.443</v>
      </c>
      <c r="U75">
        <v>33</v>
      </c>
      <c r="V75">
        <v>1</v>
      </c>
      <c r="W75">
        <v>75</v>
      </c>
      <c r="X75">
        <v>42</v>
      </c>
      <c r="Y75">
        <v>0</v>
      </c>
      <c r="Z75">
        <v>32.363888888888887</v>
      </c>
      <c r="AA75">
        <v>36.516388888888891</v>
      </c>
      <c r="AB75" t="s">
        <v>47</v>
      </c>
      <c r="AC75">
        <v>32</v>
      </c>
      <c r="AD75">
        <v>30110</v>
      </c>
      <c r="AE75">
        <v>45059</v>
      </c>
      <c r="AF75">
        <v>75</v>
      </c>
      <c r="AG75">
        <v>1</v>
      </c>
      <c r="AH75">
        <v>0.443</v>
      </c>
      <c r="AI75">
        <v>1</v>
      </c>
      <c r="AJ75">
        <v>6</v>
      </c>
      <c r="AK75">
        <v>15</v>
      </c>
      <c r="AL75">
        <v>9</v>
      </c>
    </row>
    <row r="76" spans="1:38" x14ac:dyDescent="0.35">
      <c r="A76" t="s">
        <v>547</v>
      </c>
      <c r="B76">
        <v>323475.79129999969</v>
      </c>
      <c r="C76">
        <v>6401219.8768000007</v>
      </c>
      <c r="D76">
        <v>2128495</v>
      </c>
      <c r="E76" t="s">
        <v>548</v>
      </c>
      <c r="F76" t="s">
        <v>549</v>
      </c>
      <c r="G76">
        <v>114728</v>
      </c>
      <c r="H76">
        <v>2</v>
      </c>
      <c r="I76" t="s">
        <v>550</v>
      </c>
      <c r="J76" t="s">
        <v>551</v>
      </c>
      <c r="K76">
        <v>129724</v>
      </c>
      <c r="L76">
        <v>2</v>
      </c>
      <c r="M76">
        <v>14996</v>
      </c>
      <c r="N76" t="s">
        <v>552</v>
      </c>
      <c r="O76" t="s">
        <v>553</v>
      </c>
      <c r="P76">
        <v>148492</v>
      </c>
      <c r="Q76">
        <v>2</v>
      </c>
      <c r="R76">
        <v>33764</v>
      </c>
      <c r="S76">
        <v>0.44400000000000001</v>
      </c>
      <c r="T76">
        <v>0.44</v>
      </c>
      <c r="U76">
        <v>33</v>
      </c>
      <c r="V76">
        <v>1</v>
      </c>
      <c r="W76">
        <v>75</v>
      </c>
      <c r="X76">
        <v>42</v>
      </c>
      <c r="Y76">
        <v>0</v>
      </c>
      <c r="Z76">
        <v>31.86888888888889</v>
      </c>
      <c r="AA76">
        <v>36.034444444444439</v>
      </c>
      <c r="AB76" t="s">
        <v>47</v>
      </c>
      <c r="AC76">
        <v>31</v>
      </c>
      <c r="AD76">
        <v>28328</v>
      </c>
      <c r="AE76">
        <v>43324</v>
      </c>
      <c r="AF76">
        <v>75</v>
      </c>
      <c r="AG76">
        <v>1</v>
      </c>
      <c r="AH76">
        <v>0.44</v>
      </c>
      <c r="AI76">
        <v>1</v>
      </c>
      <c r="AJ76">
        <v>6</v>
      </c>
      <c r="AK76">
        <v>14</v>
      </c>
      <c r="AL76">
        <v>8</v>
      </c>
    </row>
    <row r="77" spans="1:38" x14ac:dyDescent="0.35">
      <c r="A77" t="s">
        <v>554</v>
      </c>
      <c r="B77">
        <v>323475.79129999969</v>
      </c>
      <c r="C77">
        <v>6401219.8768000007</v>
      </c>
      <c r="D77">
        <v>1879453</v>
      </c>
      <c r="E77" t="s">
        <v>555</v>
      </c>
      <c r="F77" t="s">
        <v>556</v>
      </c>
      <c r="G77">
        <v>139736</v>
      </c>
      <c r="H77">
        <v>2</v>
      </c>
      <c r="I77" t="s">
        <v>557</v>
      </c>
      <c r="J77" t="s">
        <v>558</v>
      </c>
      <c r="K77">
        <v>154735</v>
      </c>
      <c r="L77">
        <v>2</v>
      </c>
      <c r="M77">
        <v>14999</v>
      </c>
      <c r="N77" t="s">
        <v>557</v>
      </c>
      <c r="O77" t="s">
        <v>558</v>
      </c>
      <c r="P77">
        <v>154735</v>
      </c>
      <c r="Q77">
        <v>2</v>
      </c>
      <c r="R77">
        <v>14999</v>
      </c>
      <c r="S77">
        <v>1</v>
      </c>
      <c r="T77">
        <v>0.14199999999999999</v>
      </c>
      <c r="U77">
        <v>9</v>
      </c>
      <c r="V77">
        <v>0.90600000000000003</v>
      </c>
      <c r="W77">
        <v>54</v>
      </c>
      <c r="X77">
        <v>46</v>
      </c>
      <c r="Y77">
        <v>0</v>
      </c>
      <c r="Z77">
        <v>38.815555555555562</v>
      </c>
      <c r="AA77">
        <v>42.981944444444451</v>
      </c>
      <c r="AB77" t="s">
        <v>47</v>
      </c>
      <c r="AC77">
        <v>38</v>
      </c>
      <c r="AD77">
        <v>53336</v>
      </c>
      <c r="AE77">
        <v>68335</v>
      </c>
      <c r="AF77">
        <v>59.602649006622507</v>
      </c>
      <c r="AG77">
        <v>0.90600000000000003</v>
      </c>
      <c r="AH77">
        <v>0.14199999999999999</v>
      </c>
      <c r="AI77">
        <v>1</v>
      </c>
      <c r="AJ77">
        <v>13</v>
      </c>
      <c r="AK77">
        <v>21</v>
      </c>
      <c r="AL77">
        <v>8</v>
      </c>
    </row>
    <row r="78" spans="1:38" x14ac:dyDescent="0.35">
      <c r="A78" t="s">
        <v>559</v>
      </c>
      <c r="B78">
        <v>323475.79129999969</v>
      </c>
      <c r="C78">
        <v>6401219.8768000007</v>
      </c>
      <c r="D78">
        <v>4603563</v>
      </c>
      <c r="E78" t="s">
        <v>560</v>
      </c>
      <c r="F78" t="s">
        <v>561</v>
      </c>
      <c r="G78">
        <v>109317</v>
      </c>
      <c r="H78">
        <v>2</v>
      </c>
      <c r="I78" t="s">
        <v>562</v>
      </c>
      <c r="J78" t="s">
        <v>563</v>
      </c>
      <c r="K78">
        <v>124344</v>
      </c>
      <c r="L78">
        <v>2</v>
      </c>
      <c r="M78">
        <v>15027</v>
      </c>
      <c r="N78" t="s">
        <v>564</v>
      </c>
      <c r="O78" t="s">
        <v>565</v>
      </c>
      <c r="P78">
        <v>125423</v>
      </c>
      <c r="Q78">
        <v>2</v>
      </c>
      <c r="R78">
        <v>16106</v>
      </c>
      <c r="S78">
        <v>0.93300000000000005</v>
      </c>
      <c r="T78">
        <v>0.439</v>
      </c>
      <c r="U78">
        <v>33</v>
      </c>
      <c r="V78">
        <v>1</v>
      </c>
      <c r="W78">
        <v>75</v>
      </c>
      <c r="X78">
        <v>42</v>
      </c>
      <c r="Y78">
        <v>0</v>
      </c>
      <c r="Z78">
        <v>30.365833333333331</v>
      </c>
      <c r="AA78">
        <v>34.54</v>
      </c>
      <c r="AB78" t="s">
        <v>47</v>
      </c>
      <c r="AC78">
        <v>30</v>
      </c>
      <c r="AD78">
        <v>22917</v>
      </c>
      <c r="AE78">
        <v>37944</v>
      </c>
      <c r="AF78">
        <v>75</v>
      </c>
      <c r="AG78">
        <v>1</v>
      </c>
      <c r="AH78">
        <v>0.439</v>
      </c>
      <c r="AI78">
        <v>1</v>
      </c>
      <c r="AJ78">
        <v>4</v>
      </c>
      <c r="AK78">
        <v>13</v>
      </c>
      <c r="AL78">
        <v>9</v>
      </c>
    </row>
    <row r="79" spans="1:38" x14ac:dyDescent="0.35">
      <c r="A79" t="s">
        <v>566</v>
      </c>
      <c r="B79">
        <v>323475.79129999969</v>
      </c>
      <c r="C79">
        <v>6401219.8768000007</v>
      </c>
      <c r="D79">
        <v>1865848</v>
      </c>
      <c r="E79" t="s">
        <v>567</v>
      </c>
      <c r="F79" t="s">
        <v>568</v>
      </c>
      <c r="G79">
        <v>133617</v>
      </c>
      <c r="H79">
        <v>2</v>
      </c>
      <c r="I79" t="s">
        <v>569</v>
      </c>
      <c r="J79" t="s">
        <v>570</v>
      </c>
      <c r="K79">
        <v>148694</v>
      </c>
      <c r="L79">
        <v>2</v>
      </c>
      <c r="M79">
        <v>15077</v>
      </c>
      <c r="N79" t="s">
        <v>571</v>
      </c>
      <c r="O79" t="s">
        <v>572</v>
      </c>
      <c r="P79">
        <v>149285</v>
      </c>
      <c r="Q79">
        <v>2</v>
      </c>
      <c r="R79">
        <v>15668</v>
      </c>
      <c r="S79">
        <v>0.96199999999999997</v>
      </c>
      <c r="T79">
        <v>0.32800000000000001</v>
      </c>
      <c r="U79">
        <v>20</v>
      </c>
      <c r="V79">
        <v>1</v>
      </c>
      <c r="W79">
        <v>60</v>
      </c>
      <c r="X79">
        <v>40</v>
      </c>
      <c r="Y79">
        <v>0</v>
      </c>
      <c r="Z79">
        <v>37.115833333333327</v>
      </c>
      <c r="AA79">
        <v>41.303888888888878</v>
      </c>
      <c r="AB79" t="s">
        <v>47</v>
      </c>
      <c r="AC79">
        <v>37</v>
      </c>
      <c r="AD79">
        <v>47217</v>
      </c>
      <c r="AE79">
        <v>62294</v>
      </c>
      <c r="AF79">
        <v>60</v>
      </c>
      <c r="AG79">
        <v>1</v>
      </c>
      <c r="AH79">
        <v>0.32800000000000001</v>
      </c>
      <c r="AI79">
        <v>1</v>
      </c>
      <c r="AJ79">
        <v>11</v>
      </c>
      <c r="AK79">
        <v>19</v>
      </c>
      <c r="AL79">
        <v>8</v>
      </c>
    </row>
    <row r="80" spans="1:38" x14ac:dyDescent="0.35">
      <c r="A80" t="s">
        <v>573</v>
      </c>
      <c r="B80">
        <v>323475.79129999969</v>
      </c>
      <c r="C80">
        <v>6401219.8768000007</v>
      </c>
      <c r="D80">
        <v>1925698</v>
      </c>
      <c r="E80" t="s">
        <v>574</v>
      </c>
      <c r="F80" t="s">
        <v>575</v>
      </c>
      <c r="G80">
        <v>118694</v>
      </c>
      <c r="H80">
        <v>2</v>
      </c>
      <c r="I80" t="s">
        <v>576</v>
      </c>
      <c r="J80" t="s">
        <v>577</v>
      </c>
      <c r="K80">
        <v>133864</v>
      </c>
      <c r="L80">
        <v>2</v>
      </c>
      <c r="M80">
        <v>15170</v>
      </c>
      <c r="N80" t="s">
        <v>578</v>
      </c>
      <c r="O80" t="s">
        <v>579</v>
      </c>
      <c r="P80">
        <v>147875</v>
      </c>
      <c r="Q80">
        <v>2</v>
      </c>
      <c r="R80">
        <v>29181</v>
      </c>
      <c r="S80">
        <v>0.52</v>
      </c>
      <c r="T80">
        <v>0.433</v>
      </c>
      <c r="U80">
        <v>32</v>
      </c>
      <c r="V80">
        <v>1</v>
      </c>
      <c r="W80">
        <v>75</v>
      </c>
      <c r="X80">
        <v>43</v>
      </c>
      <c r="Y80">
        <v>0</v>
      </c>
      <c r="Z80">
        <v>32.970555555555563</v>
      </c>
      <c r="AA80">
        <v>37.184444444444438</v>
      </c>
      <c r="AB80" t="s">
        <v>47</v>
      </c>
      <c r="AC80">
        <v>32</v>
      </c>
      <c r="AD80">
        <v>32294</v>
      </c>
      <c r="AE80">
        <v>47464</v>
      </c>
      <c r="AF80">
        <v>75</v>
      </c>
      <c r="AG80">
        <v>1</v>
      </c>
      <c r="AH80">
        <v>0.433</v>
      </c>
      <c r="AI80">
        <v>1</v>
      </c>
      <c r="AJ80">
        <v>7</v>
      </c>
      <c r="AK80">
        <v>15</v>
      </c>
      <c r="AL80">
        <v>8</v>
      </c>
    </row>
    <row r="81" spans="1:38" x14ac:dyDescent="0.35">
      <c r="A81" t="s">
        <v>580</v>
      </c>
      <c r="B81">
        <v>323475.79129999969</v>
      </c>
      <c r="C81">
        <v>6401219.8768000007</v>
      </c>
      <c r="D81">
        <v>2016242</v>
      </c>
      <c r="E81" t="s">
        <v>581</v>
      </c>
      <c r="F81" t="s">
        <v>582</v>
      </c>
      <c r="G81">
        <v>121170</v>
      </c>
      <c r="H81">
        <v>2</v>
      </c>
      <c r="I81" t="s">
        <v>583</v>
      </c>
      <c r="J81" t="s">
        <v>584</v>
      </c>
      <c r="K81">
        <v>136359</v>
      </c>
      <c r="L81">
        <v>2</v>
      </c>
      <c r="M81">
        <v>15189</v>
      </c>
      <c r="N81" t="s">
        <v>585</v>
      </c>
      <c r="O81" t="s">
        <v>586</v>
      </c>
      <c r="P81">
        <v>152929</v>
      </c>
      <c r="Q81">
        <v>2</v>
      </c>
      <c r="R81">
        <v>31759</v>
      </c>
      <c r="S81">
        <v>0.47799999999999998</v>
      </c>
      <c r="T81">
        <v>0.433</v>
      </c>
      <c r="U81">
        <v>32</v>
      </c>
      <c r="V81">
        <v>1</v>
      </c>
      <c r="W81">
        <v>75</v>
      </c>
      <c r="X81">
        <v>43</v>
      </c>
      <c r="Y81">
        <v>0</v>
      </c>
      <c r="Z81">
        <v>33.658333333333331</v>
      </c>
      <c r="AA81">
        <v>37.877499999999998</v>
      </c>
      <c r="AB81" t="s">
        <v>47</v>
      </c>
      <c r="AC81">
        <v>33</v>
      </c>
      <c r="AD81">
        <v>34770</v>
      </c>
      <c r="AE81">
        <v>49959</v>
      </c>
      <c r="AF81">
        <v>75</v>
      </c>
      <c r="AG81">
        <v>1</v>
      </c>
      <c r="AH81">
        <v>0.433</v>
      </c>
      <c r="AI81">
        <v>1</v>
      </c>
      <c r="AJ81">
        <v>8</v>
      </c>
      <c r="AK81">
        <v>16</v>
      </c>
      <c r="AL81">
        <v>8</v>
      </c>
    </row>
    <row r="82" spans="1:38" x14ac:dyDescent="0.35">
      <c r="A82" t="s">
        <v>587</v>
      </c>
      <c r="B82">
        <v>323475.79129999969</v>
      </c>
      <c r="C82">
        <v>6401219.8768000007</v>
      </c>
      <c r="D82">
        <v>1942487</v>
      </c>
      <c r="E82" t="s">
        <v>588</v>
      </c>
      <c r="F82" t="s">
        <v>589</v>
      </c>
      <c r="G82">
        <v>107151</v>
      </c>
      <c r="H82">
        <v>2</v>
      </c>
      <c r="I82" t="s">
        <v>590</v>
      </c>
      <c r="J82" t="s">
        <v>591</v>
      </c>
      <c r="K82">
        <v>122354</v>
      </c>
      <c r="L82">
        <v>2</v>
      </c>
      <c r="M82">
        <v>15203</v>
      </c>
      <c r="N82" t="s">
        <v>592</v>
      </c>
      <c r="O82" t="s">
        <v>593</v>
      </c>
      <c r="P82">
        <v>133590</v>
      </c>
      <c r="Q82">
        <v>2</v>
      </c>
      <c r="R82">
        <v>26439</v>
      </c>
      <c r="S82">
        <v>0.57499999999999996</v>
      </c>
      <c r="T82">
        <v>0.22600000000000001</v>
      </c>
      <c r="U82">
        <v>12</v>
      </c>
      <c r="V82">
        <v>1</v>
      </c>
      <c r="W82">
        <v>52</v>
      </c>
      <c r="X82">
        <v>40</v>
      </c>
      <c r="Y82">
        <v>0</v>
      </c>
      <c r="Z82">
        <v>29.764166666666672</v>
      </c>
      <c r="AA82">
        <v>33.987222222222222</v>
      </c>
      <c r="AB82" t="s">
        <v>47</v>
      </c>
      <c r="AC82">
        <v>29</v>
      </c>
      <c r="AD82">
        <v>20751</v>
      </c>
      <c r="AE82">
        <v>35954</v>
      </c>
      <c r="AF82">
        <v>52</v>
      </c>
      <c r="AG82">
        <v>1</v>
      </c>
      <c r="AH82">
        <v>0.22600000000000001</v>
      </c>
      <c r="AI82">
        <v>1</v>
      </c>
      <c r="AJ82">
        <v>4</v>
      </c>
      <c r="AK82">
        <v>12</v>
      </c>
      <c r="AL82">
        <v>8</v>
      </c>
    </row>
    <row r="83" spans="1:38" x14ac:dyDescent="0.35">
      <c r="A83" t="s">
        <v>594</v>
      </c>
      <c r="B83">
        <v>323475.79129999969</v>
      </c>
      <c r="C83">
        <v>6401219.8768000007</v>
      </c>
      <c r="D83">
        <v>7505193</v>
      </c>
      <c r="E83" t="s">
        <v>595</v>
      </c>
      <c r="F83" t="s">
        <v>596</v>
      </c>
      <c r="G83">
        <v>107207</v>
      </c>
      <c r="H83">
        <v>2</v>
      </c>
      <c r="I83" t="s">
        <v>597</v>
      </c>
      <c r="J83" t="s">
        <v>598</v>
      </c>
      <c r="K83">
        <v>122419</v>
      </c>
      <c r="L83">
        <v>2</v>
      </c>
      <c r="M83">
        <v>15212</v>
      </c>
      <c r="N83" t="s">
        <v>599</v>
      </c>
      <c r="O83" t="s">
        <v>600</v>
      </c>
      <c r="P83">
        <v>132414</v>
      </c>
      <c r="Q83">
        <v>2</v>
      </c>
      <c r="R83">
        <v>25207</v>
      </c>
      <c r="S83">
        <v>0.60299999999999998</v>
      </c>
      <c r="T83">
        <v>0.32200000000000001</v>
      </c>
      <c r="U83">
        <v>19</v>
      </c>
      <c r="V83">
        <v>1</v>
      </c>
      <c r="W83">
        <v>60</v>
      </c>
      <c r="X83">
        <v>41</v>
      </c>
      <c r="Y83">
        <v>0</v>
      </c>
      <c r="Z83">
        <v>29.779722222222219</v>
      </c>
      <c r="AA83">
        <v>34.005277777777778</v>
      </c>
      <c r="AB83" t="s">
        <v>47</v>
      </c>
      <c r="AC83">
        <v>29</v>
      </c>
      <c r="AD83">
        <v>20807</v>
      </c>
      <c r="AE83">
        <v>36019</v>
      </c>
      <c r="AF83">
        <v>60</v>
      </c>
      <c r="AG83">
        <v>1</v>
      </c>
      <c r="AH83">
        <v>0.32200000000000001</v>
      </c>
      <c r="AI83">
        <v>1</v>
      </c>
      <c r="AJ83">
        <v>4</v>
      </c>
      <c r="AK83">
        <v>12</v>
      </c>
      <c r="AL83">
        <v>8</v>
      </c>
    </row>
    <row r="84" spans="1:38" x14ac:dyDescent="0.35">
      <c r="A84" t="s">
        <v>601</v>
      </c>
      <c r="B84">
        <v>323475.79129999969</v>
      </c>
      <c r="C84">
        <v>6401219.8768000007</v>
      </c>
      <c r="D84">
        <v>7459831</v>
      </c>
      <c r="E84" t="s">
        <v>602</v>
      </c>
      <c r="F84" t="s">
        <v>603</v>
      </c>
      <c r="G84">
        <v>122850</v>
      </c>
      <c r="H84">
        <v>2</v>
      </c>
      <c r="I84" t="s">
        <v>604</v>
      </c>
      <c r="J84" t="s">
        <v>605</v>
      </c>
      <c r="K84">
        <v>138089</v>
      </c>
      <c r="L84">
        <v>2</v>
      </c>
      <c r="M84">
        <v>15239</v>
      </c>
      <c r="N84" t="s">
        <v>606</v>
      </c>
      <c r="O84" t="s">
        <v>607</v>
      </c>
      <c r="P84">
        <v>148124</v>
      </c>
      <c r="Q84">
        <v>2</v>
      </c>
      <c r="R84">
        <v>25274</v>
      </c>
      <c r="S84">
        <v>0.60299999999999998</v>
      </c>
      <c r="T84">
        <v>0.224</v>
      </c>
      <c r="U84">
        <v>12</v>
      </c>
      <c r="V84">
        <v>1</v>
      </c>
      <c r="W84">
        <v>52</v>
      </c>
      <c r="X84">
        <v>40</v>
      </c>
      <c r="Y84">
        <v>0</v>
      </c>
      <c r="Z84">
        <v>34.125</v>
      </c>
      <c r="AA84">
        <v>38.358055555555559</v>
      </c>
      <c r="AB84" t="s">
        <v>47</v>
      </c>
      <c r="AC84">
        <v>34</v>
      </c>
      <c r="AD84">
        <v>36450</v>
      </c>
      <c r="AE84">
        <v>51689</v>
      </c>
      <c r="AF84">
        <v>52</v>
      </c>
      <c r="AG84">
        <v>1</v>
      </c>
      <c r="AH84">
        <v>0.224</v>
      </c>
      <c r="AI84">
        <v>1</v>
      </c>
      <c r="AJ84">
        <v>8</v>
      </c>
      <c r="AK84">
        <v>16</v>
      </c>
      <c r="AL84">
        <v>8</v>
      </c>
    </row>
    <row r="85" spans="1:38" x14ac:dyDescent="0.35">
      <c r="A85" t="s">
        <v>608</v>
      </c>
      <c r="B85">
        <v>323475.79129999969</v>
      </c>
      <c r="C85">
        <v>6401219.8768000007</v>
      </c>
      <c r="D85">
        <v>2127011</v>
      </c>
      <c r="E85" t="s">
        <v>609</v>
      </c>
      <c r="F85" t="s">
        <v>610</v>
      </c>
      <c r="G85">
        <v>113469</v>
      </c>
      <c r="H85">
        <v>2</v>
      </c>
      <c r="I85" t="s">
        <v>611</v>
      </c>
      <c r="J85" t="s">
        <v>612</v>
      </c>
      <c r="K85">
        <v>128744</v>
      </c>
      <c r="L85">
        <v>2</v>
      </c>
      <c r="M85">
        <v>15275</v>
      </c>
      <c r="N85" t="s">
        <v>613</v>
      </c>
      <c r="O85" t="s">
        <v>614</v>
      </c>
      <c r="P85">
        <v>143526</v>
      </c>
      <c r="Q85">
        <v>2</v>
      </c>
      <c r="R85">
        <v>30057</v>
      </c>
      <c r="S85">
        <v>0.50800000000000001</v>
      </c>
      <c r="T85">
        <v>0.221</v>
      </c>
      <c r="U85">
        <v>11</v>
      </c>
      <c r="V85">
        <v>1</v>
      </c>
      <c r="W85">
        <v>52</v>
      </c>
      <c r="X85">
        <v>41</v>
      </c>
      <c r="Y85">
        <v>0</v>
      </c>
      <c r="Z85">
        <v>31.519166666666671</v>
      </c>
      <c r="AA85">
        <v>35.762222222222221</v>
      </c>
      <c r="AB85" t="s">
        <v>47</v>
      </c>
      <c r="AC85">
        <v>31</v>
      </c>
      <c r="AD85">
        <v>27069</v>
      </c>
      <c r="AE85">
        <v>42344</v>
      </c>
      <c r="AF85">
        <v>52</v>
      </c>
      <c r="AG85">
        <v>1</v>
      </c>
      <c r="AH85">
        <v>0.221</v>
      </c>
      <c r="AI85">
        <v>1</v>
      </c>
      <c r="AJ85">
        <v>6</v>
      </c>
      <c r="AK85">
        <v>14</v>
      </c>
      <c r="AL85">
        <v>8</v>
      </c>
    </row>
    <row r="86" spans="1:38" x14ac:dyDescent="0.35">
      <c r="A86" t="s">
        <v>615</v>
      </c>
      <c r="B86">
        <v>323475.79129999969</v>
      </c>
      <c r="C86">
        <v>6401219.8768000007</v>
      </c>
      <c r="D86">
        <v>4696601</v>
      </c>
      <c r="E86" t="s">
        <v>616</v>
      </c>
      <c r="F86" t="s">
        <v>617</v>
      </c>
      <c r="G86">
        <v>126034</v>
      </c>
      <c r="H86">
        <v>2</v>
      </c>
      <c r="I86" t="s">
        <v>618</v>
      </c>
      <c r="J86" t="s">
        <v>619</v>
      </c>
      <c r="K86">
        <v>141309</v>
      </c>
      <c r="L86">
        <v>2</v>
      </c>
      <c r="M86">
        <v>15275</v>
      </c>
      <c r="N86" t="s">
        <v>620</v>
      </c>
      <c r="O86" t="s">
        <v>621</v>
      </c>
      <c r="P86">
        <v>148618</v>
      </c>
      <c r="Q86">
        <v>2</v>
      </c>
      <c r="R86">
        <v>22584</v>
      </c>
      <c r="S86">
        <v>0.67600000000000005</v>
      </c>
      <c r="T86">
        <v>0.42899999999999999</v>
      </c>
      <c r="U86">
        <v>32</v>
      </c>
      <c r="V86">
        <v>1</v>
      </c>
      <c r="W86">
        <v>75</v>
      </c>
      <c r="X86">
        <v>43</v>
      </c>
      <c r="Y86">
        <v>0</v>
      </c>
      <c r="Z86">
        <v>35.009444444444448</v>
      </c>
      <c r="AA86">
        <v>39.252499999999998</v>
      </c>
      <c r="AB86" t="s">
        <v>47</v>
      </c>
      <c r="AC86">
        <v>35</v>
      </c>
      <c r="AD86">
        <v>39634</v>
      </c>
      <c r="AE86">
        <v>54909</v>
      </c>
      <c r="AF86">
        <v>75</v>
      </c>
      <c r="AG86">
        <v>1</v>
      </c>
      <c r="AH86">
        <v>0.42899999999999999</v>
      </c>
      <c r="AI86">
        <v>1</v>
      </c>
      <c r="AJ86">
        <v>9</v>
      </c>
      <c r="AK86">
        <v>17</v>
      </c>
      <c r="AL86">
        <v>8</v>
      </c>
    </row>
    <row r="87" spans="1:38" x14ac:dyDescent="0.35">
      <c r="A87" t="s">
        <v>622</v>
      </c>
      <c r="B87">
        <v>323475.79129999969</v>
      </c>
      <c r="C87">
        <v>6401219.8768000007</v>
      </c>
      <c r="D87">
        <v>2129701</v>
      </c>
      <c r="E87" t="s">
        <v>623</v>
      </c>
      <c r="F87" t="s">
        <v>624</v>
      </c>
      <c r="G87">
        <v>124882</v>
      </c>
      <c r="H87">
        <v>2</v>
      </c>
      <c r="I87" t="s">
        <v>625</v>
      </c>
      <c r="J87" t="s">
        <v>626</v>
      </c>
      <c r="K87">
        <v>140179</v>
      </c>
      <c r="L87">
        <v>2</v>
      </c>
      <c r="M87">
        <v>15297</v>
      </c>
      <c r="N87" t="s">
        <v>627</v>
      </c>
      <c r="O87" t="s">
        <v>628</v>
      </c>
      <c r="P87">
        <v>148727</v>
      </c>
      <c r="Q87">
        <v>2</v>
      </c>
      <c r="R87">
        <v>23845</v>
      </c>
      <c r="S87">
        <v>0.64200000000000002</v>
      </c>
      <c r="T87">
        <v>0.22</v>
      </c>
      <c r="U87">
        <v>11</v>
      </c>
      <c r="V87">
        <v>1</v>
      </c>
      <c r="W87">
        <v>52</v>
      </c>
      <c r="X87">
        <v>41</v>
      </c>
      <c r="Y87">
        <v>0</v>
      </c>
      <c r="Z87">
        <v>34.68944444444444</v>
      </c>
      <c r="AA87">
        <v>38.938611111111108</v>
      </c>
      <c r="AB87" t="s">
        <v>47</v>
      </c>
      <c r="AC87">
        <v>34</v>
      </c>
      <c r="AD87">
        <v>38482</v>
      </c>
      <c r="AE87">
        <v>53779</v>
      </c>
      <c r="AF87">
        <v>52</v>
      </c>
      <c r="AG87">
        <v>1</v>
      </c>
      <c r="AH87">
        <v>0.22</v>
      </c>
      <c r="AI87">
        <v>1</v>
      </c>
      <c r="AJ87">
        <v>9</v>
      </c>
      <c r="AK87">
        <v>17</v>
      </c>
      <c r="AL87">
        <v>8</v>
      </c>
    </row>
    <row r="88" spans="1:38" x14ac:dyDescent="0.35">
      <c r="A88" t="s">
        <v>629</v>
      </c>
      <c r="B88">
        <v>323475.79129999969</v>
      </c>
      <c r="C88">
        <v>6401219.8768000007</v>
      </c>
      <c r="D88">
        <v>4743170</v>
      </c>
      <c r="E88" t="s">
        <v>630</v>
      </c>
      <c r="F88" t="s">
        <v>631</v>
      </c>
      <c r="G88">
        <v>122082</v>
      </c>
      <c r="H88">
        <v>2</v>
      </c>
      <c r="I88" t="s">
        <v>632</v>
      </c>
      <c r="J88" t="s">
        <v>633</v>
      </c>
      <c r="K88">
        <v>137394</v>
      </c>
      <c r="L88">
        <v>2</v>
      </c>
      <c r="M88">
        <v>15312</v>
      </c>
      <c r="N88" t="s">
        <v>634</v>
      </c>
      <c r="O88" t="s">
        <v>635</v>
      </c>
      <c r="P88">
        <v>148104</v>
      </c>
      <c r="Q88">
        <v>2</v>
      </c>
      <c r="R88">
        <v>26022</v>
      </c>
      <c r="S88">
        <v>0.58799999999999997</v>
      </c>
      <c r="T88">
        <v>0.42799999999999999</v>
      </c>
      <c r="U88">
        <v>32</v>
      </c>
      <c r="V88">
        <v>1</v>
      </c>
      <c r="W88">
        <v>75</v>
      </c>
      <c r="X88">
        <v>43</v>
      </c>
      <c r="Y88">
        <v>0</v>
      </c>
      <c r="Z88">
        <v>33.911666666666662</v>
      </c>
      <c r="AA88">
        <v>38.164999999999999</v>
      </c>
      <c r="AB88" t="s">
        <v>47</v>
      </c>
      <c r="AC88">
        <v>33</v>
      </c>
      <c r="AD88">
        <v>35682</v>
      </c>
      <c r="AE88">
        <v>50994</v>
      </c>
      <c r="AF88">
        <v>75</v>
      </c>
      <c r="AG88">
        <v>1</v>
      </c>
      <c r="AH88">
        <v>0.42799999999999999</v>
      </c>
      <c r="AI88">
        <v>1</v>
      </c>
      <c r="AJ88">
        <v>8</v>
      </c>
      <c r="AK88">
        <v>16</v>
      </c>
      <c r="AL88">
        <v>8</v>
      </c>
    </row>
    <row r="89" spans="1:38" x14ac:dyDescent="0.35">
      <c r="A89" t="s">
        <v>636</v>
      </c>
      <c r="B89">
        <v>323475.79129999969</v>
      </c>
      <c r="C89">
        <v>6401219.8768000007</v>
      </c>
      <c r="D89">
        <v>9414002</v>
      </c>
      <c r="E89" t="s">
        <v>637</v>
      </c>
      <c r="F89" t="s">
        <v>638</v>
      </c>
      <c r="G89">
        <v>135078</v>
      </c>
      <c r="H89">
        <v>2</v>
      </c>
      <c r="I89" t="s">
        <v>639</v>
      </c>
      <c r="J89" t="s">
        <v>640</v>
      </c>
      <c r="K89">
        <v>150402</v>
      </c>
      <c r="L89">
        <v>2</v>
      </c>
      <c r="M89">
        <v>15324</v>
      </c>
      <c r="N89" t="s">
        <v>639</v>
      </c>
      <c r="O89" t="s">
        <v>640</v>
      </c>
      <c r="P89">
        <v>150402</v>
      </c>
      <c r="Q89">
        <v>2</v>
      </c>
      <c r="R89">
        <v>15324</v>
      </c>
      <c r="S89">
        <v>1</v>
      </c>
      <c r="T89">
        <v>0.20499999999999999</v>
      </c>
      <c r="U89">
        <v>11</v>
      </c>
      <c r="V89">
        <v>0.999</v>
      </c>
      <c r="W89">
        <v>52</v>
      </c>
      <c r="X89">
        <v>41</v>
      </c>
      <c r="Y89">
        <v>0</v>
      </c>
      <c r="Z89">
        <v>37.521666666666668</v>
      </c>
      <c r="AA89">
        <v>41.778333333333329</v>
      </c>
      <c r="AB89" t="s">
        <v>47</v>
      </c>
      <c r="AC89">
        <v>37</v>
      </c>
      <c r="AD89">
        <v>48678</v>
      </c>
      <c r="AE89">
        <v>64002</v>
      </c>
      <c r="AF89">
        <v>52.052052052052048</v>
      </c>
      <c r="AG89">
        <v>0.999</v>
      </c>
      <c r="AH89">
        <v>0.20499999999999999</v>
      </c>
      <c r="AI89">
        <v>1</v>
      </c>
      <c r="AJ89">
        <v>12</v>
      </c>
      <c r="AK89">
        <v>20</v>
      </c>
      <c r="AL89">
        <v>8</v>
      </c>
    </row>
    <row r="90" spans="1:38" x14ac:dyDescent="0.35">
      <c r="A90" t="s">
        <v>641</v>
      </c>
      <c r="B90">
        <v>323475.79129999969</v>
      </c>
      <c r="C90">
        <v>6401219.8768000007</v>
      </c>
      <c r="D90">
        <v>2944851</v>
      </c>
      <c r="E90" t="s">
        <v>642</v>
      </c>
      <c r="F90" t="s">
        <v>643</v>
      </c>
      <c r="G90">
        <v>114135</v>
      </c>
      <c r="H90">
        <v>2</v>
      </c>
      <c r="I90" t="s">
        <v>644</v>
      </c>
      <c r="J90" t="s">
        <v>645</v>
      </c>
      <c r="K90">
        <v>129464</v>
      </c>
      <c r="L90">
        <v>2</v>
      </c>
      <c r="M90">
        <v>15329</v>
      </c>
      <c r="N90" t="s">
        <v>646</v>
      </c>
      <c r="O90" t="s">
        <v>647</v>
      </c>
      <c r="P90">
        <v>143994</v>
      </c>
      <c r="Q90">
        <v>2</v>
      </c>
      <c r="R90">
        <v>29859</v>
      </c>
      <c r="S90">
        <v>0.51300000000000001</v>
      </c>
      <c r="T90">
        <v>0.316</v>
      </c>
      <c r="U90">
        <v>19</v>
      </c>
      <c r="V90">
        <v>1</v>
      </c>
      <c r="W90">
        <v>60</v>
      </c>
      <c r="X90">
        <v>41</v>
      </c>
      <c r="Y90">
        <v>0</v>
      </c>
      <c r="Z90">
        <v>31.704166666666669</v>
      </c>
      <c r="AA90">
        <v>35.962222222222223</v>
      </c>
      <c r="AB90" t="s">
        <v>47</v>
      </c>
      <c r="AC90">
        <v>31</v>
      </c>
      <c r="AD90">
        <v>27735</v>
      </c>
      <c r="AE90">
        <v>43064</v>
      </c>
      <c r="AF90">
        <v>60</v>
      </c>
      <c r="AG90">
        <v>1</v>
      </c>
      <c r="AH90">
        <v>0.316</v>
      </c>
      <c r="AI90">
        <v>1</v>
      </c>
      <c r="AJ90">
        <v>6</v>
      </c>
      <c r="AK90">
        <v>14</v>
      </c>
      <c r="AL90">
        <v>8</v>
      </c>
    </row>
    <row r="91" spans="1:38" x14ac:dyDescent="0.35">
      <c r="A91" t="s">
        <v>648</v>
      </c>
      <c r="B91">
        <v>323475.79129999969</v>
      </c>
      <c r="C91">
        <v>6401219.8768000007</v>
      </c>
      <c r="D91">
        <v>10051599</v>
      </c>
      <c r="E91" t="s">
        <v>649</v>
      </c>
      <c r="F91" t="s">
        <v>650</v>
      </c>
      <c r="G91">
        <v>133798</v>
      </c>
      <c r="H91">
        <v>2</v>
      </c>
      <c r="I91" t="s">
        <v>651</v>
      </c>
      <c r="J91" t="s">
        <v>652</v>
      </c>
      <c r="K91">
        <v>149139</v>
      </c>
      <c r="L91">
        <v>2</v>
      </c>
      <c r="M91">
        <v>15341</v>
      </c>
      <c r="N91" t="s">
        <v>653</v>
      </c>
      <c r="O91" t="s">
        <v>654</v>
      </c>
      <c r="P91">
        <v>154418</v>
      </c>
      <c r="Q91">
        <v>2</v>
      </c>
      <c r="R91">
        <v>20620</v>
      </c>
      <c r="S91">
        <v>0.74399999999999999</v>
      </c>
      <c r="T91">
        <v>0.217</v>
      </c>
      <c r="U91">
        <v>11</v>
      </c>
      <c r="V91">
        <v>1</v>
      </c>
      <c r="W91">
        <v>52</v>
      </c>
      <c r="X91">
        <v>41</v>
      </c>
      <c r="Y91">
        <v>0</v>
      </c>
      <c r="Z91">
        <v>37.166111111111107</v>
      </c>
      <c r="AA91">
        <v>41.427500000000002</v>
      </c>
      <c r="AB91" t="s">
        <v>47</v>
      </c>
      <c r="AC91">
        <v>37</v>
      </c>
      <c r="AD91">
        <v>47398</v>
      </c>
      <c r="AE91">
        <v>62739</v>
      </c>
      <c r="AF91">
        <v>52</v>
      </c>
      <c r="AG91">
        <v>1</v>
      </c>
      <c r="AH91">
        <v>0.217</v>
      </c>
      <c r="AI91">
        <v>1</v>
      </c>
      <c r="AJ91">
        <v>11</v>
      </c>
      <c r="AK91">
        <v>19</v>
      </c>
      <c r="AL91">
        <v>8</v>
      </c>
    </row>
    <row r="92" spans="1:38" x14ac:dyDescent="0.35">
      <c r="A92" t="s">
        <v>655</v>
      </c>
      <c r="B92">
        <v>323475.79129999969</v>
      </c>
      <c r="C92">
        <v>6401219.8768000007</v>
      </c>
      <c r="D92">
        <v>4745411</v>
      </c>
      <c r="E92" t="s">
        <v>656</v>
      </c>
      <c r="F92" t="s">
        <v>657</v>
      </c>
      <c r="G92">
        <v>136486</v>
      </c>
      <c r="H92">
        <v>2</v>
      </c>
      <c r="I92" t="s">
        <v>658</v>
      </c>
      <c r="J92" t="s">
        <v>659</v>
      </c>
      <c r="K92">
        <v>151889</v>
      </c>
      <c r="L92">
        <v>2</v>
      </c>
      <c r="M92">
        <v>15403</v>
      </c>
      <c r="N92" t="s">
        <v>660</v>
      </c>
      <c r="O92" t="s">
        <v>661</v>
      </c>
      <c r="P92">
        <v>153710</v>
      </c>
      <c r="Q92">
        <v>2</v>
      </c>
      <c r="R92">
        <v>17224</v>
      </c>
      <c r="S92">
        <v>0.89400000000000002</v>
      </c>
      <c r="T92">
        <v>0</v>
      </c>
      <c r="U92">
        <v>0</v>
      </c>
      <c r="V92">
        <v>1</v>
      </c>
      <c r="W92">
        <v>42</v>
      </c>
      <c r="X92">
        <v>42</v>
      </c>
      <c r="Y92">
        <v>0</v>
      </c>
      <c r="Z92">
        <v>37.912777777777777</v>
      </c>
      <c r="AA92">
        <v>42.191388888888888</v>
      </c>
      <c r="AB92" t="s">
        <v>47</v>
      </c>
      <c r="AC92">
        <v>37</v>
      </c>
      <c r="AD92">
        <v>50086</v>
      </c>
      <c r="AE92">
        <v>65489</v>
      </c>
      <c r="AF92">
        <v>42</v>
      </c>
      <c r="AG92">
        <v>1</v>
      </c>
      <c r="AH92">
        <v>0</v>
      </c>
      <c r="AI92">
        <v>1</v>
      </c>
      <c r="AJ92">
        <v>12</v>
      </c>
      <c r="AK92">
        <v>20</v>
      </c>
      <c r="AL92">
        <v>8</v>
      </c>
    </row>
    <row r="93" spans="1:38" x14ac:dyDescent="0.35">
      <c r="A93" t="s">
        <v>662</v>
      </c>
      <c r="B93">
        <v>323475.79129999969</v>
      </c>
      <c r="C93">
        <v>6401219.8768000007</v>
      </c>
      <c r="D93">
        <v>4662182</v>
      </c>
      <c r="E93" t="s">
        <v>663</v>
      </c>
      <c r="F93" t="s">
        <v>664</v>
      </c>
      <c r="G93">
        <v>120484</v>
      </c>
      <c r="H93">
        <v>2</v>
      </c>
      <c r="I93" t="s">
        <v>665</v>
      </c>
      <c r="J93" t="s">
        <v>666</v>
      </c>
      <c r="K93">
        <v>135899</v>
      </c>
      <c r="L93">
        <v>2</v>
      </c>
      <c r="M93">
        <v>15415</v>
      </c>
      <c r="N93" t="s">
        <v>667</v>
      </c>
      <c r="O93" t="s">
        <v>668</v>
      </c>
      <c r="P93">
        <v>140853</v>
      </c>
      <c r="Q93">
        <v>2</v>
      </c>
      <c r="R93">
        <v>20369</v>
      </c>
      <c r="S93">
        <v>0.75700000000000001</v>
      </c>
      <c r="T93">
        <v>0.311</v>
      </c>
      <c r="U93">
        <v>19</v>
      </c>
      <c r="V93">
        <v>1</v>
      </c>
      <c r="W93">
        <v>60</v>
      </c>
      <c r="X93">
        <v>41</v>
      </c>
      <c r="Y93">
        <v>0</v>
      </c>
      <c r="Z93">
        <v>33.467777777777783</v>
      </c>
      <c r="AA93">
        <v>37.749722222222232</v>
      </c>
      <c r="AB93" t="s">
        <v>47</v>
      </c>
      <c r="AC93">
        <v>33</v>
      </c>
      <c r="AD93">
        <v>34084</v>
      </c>
      <c r="AE93">
        <v>49499</v>
      </c>
      <c r="AF93">
        <v>60</v>
      </c>
      <c r="AG93">
        <v>1</v>
      </c>
      <c r="AH93">
        <v>0.311</v>
      </c>
      <c r="AI93">
        <v>1</v>
      </c>
      <c r="AJ93">
        <v>7</v>
      </c>
      <c r="AK93">
        <v>16</v>
      </c>
      <c r="AL93">
        <v>9</v>
      </c>
    </row>
    <row r="94" spans="1:38" x14ac:dyDescent="0.35">
      <c r="A94" t="s">
        <v>669</v>
      </c>
      <c r="B94">
        <v>323475.79129999969</v>
      </c>
      <c r="C94">
        <v>6401219.8768000007</v>
      </c>
      <c r="D94">
        <v>2060086</v>
      </c>
      <c r="E94" t="s">
        <v>670</v>
      </c>
      <c r="F94" t="s">
        <v>671</v>
      </c>
      <c r="G94">
        <v>131052</v>
      </c>
      <c r="H94">
        <v>2</v>
      </c>
      <c r="I94" t="s">
        <v>672</v>
      </c>
      <c r="J94" t="s">
        <v>673</v>
      </c>
      <c r="K94">
        <v>146494</v>
      </c>
      <c r="L94">
        <v>2</v>
      </c>
      <c r="M94">
        <v>15442</v>
      </c>
      <c r="N94" t="s">
        <v>674</v>
      </c>
      <c r="O94" t="s">
        <v>675</v>
      </c>
      <c r="P94">
        <v>149189</v>
      </c>
      <c r="Q94">
        <v>2</v>
      </c>
      <c r="R94">
        <v>18137</v>
      </c>
      <c r="S94">
        <v>0.85099999999999998</v>
      </c>
      <c r="T94">
        <v>0.31</v>
      </c>
      <c r="U94">
        <v>19</v>
      </c>
      <c r="V94">
        <v>1</v>
      </c>
      <c r="W94">
        <v>60</v>
      </c>
      <c r="X94">
        <v>41</v>
      </c>
      <c r="Y94">
        <v>0</v>
      </c>
      <c r="Z94">
        <v>36.403333333333329</v>
      </c>
      <c r="AA94">
        <v>40.692777777777778</v>
      </c>
      <c r="AB94" t="s">
        <v>47</v>
      </c>
      <c r="AC94">
        <v>36</v>
      </c>
      <c r="AD94">
        <v>44652</v>
      </c>
      <c r="AE94">
        <v>60094</v>
      </c>
      <c r="AF94">
        <v>60</v>
      </c>
      <c r="AG94">
        <v>1</v>
      </c>
      <c r="AH94">
        <v>0.31</v>
      </c>
      <c r="AI94">
        <v>1</v>
      </c>
      <c r="AJ94">
        <v>10</v>
      </c>
      <c r="AK94">
        <v>19</v>
      </c>
      <c r="AL94">
        <v>9</v>
      </c>
    </row>
    <row r="95" spans="1:38" x14ac:dyDescent="0.35">
      <c r="A95" t="s">
        <v>676</v>
      </c>
      <c r="B95">
        <v>323475.79129999969</v>
      </c>
      <c r="C95">
        <v>6401219.8768000007</v>
      </c>
      <c r="D95">
        <v>4701796</v>
      </c>
      <c r="E95" t="s">
        <v>677</v>
      </c>
      <c r="F95" t="s">
        <v>678</v>
      </c>
      <c r="G95">
        <v>126292</v>
      </c>
      <c r="H95">
        <v>2</v>
      </c>
      <c r="I95" t="s">
        <v>679</v>
      </c>
      <c r="J95" t="s">
        <v>680</v>
      </c>
      <c r="K95">
        <v>141810</v>
      </c>
      <c r="L95">
        <v>2</v>
      </c>
      <c r="M95">
        <v>15518</v>
      </c>
      <c r="N95" t="s">
        <v>679</v>
      </c>
      <c r="O95" t="s">
        <v>680</v>
      </c>
      <c r="P95">
        <v>141810</v>
      </c>
      <c r="Q95">
        <v>2</v>
      </c>
      <c r="R95">
        <v>15518</v>
      </c>
      <c r="S95">
        <v>1</v>
      </c>
      <c r="T95">
        <v>0.33</v>
      </c>
      <c r="U95">
        <v>25</v>
      </c>
      <c r="V95">
        <v>0.96199999999999997</v>
      </c>
      <c r="W95">
        <v>72</v>
      </c>
      <c r="X95">
        <v>47</v>
      </c>
      <c r="Y95">
        <v>0</v>
      </c>
      <c r="Z95">
        <v>35.081111111111113</v>
      </c>
      <c r="AA95">
        <v>39.391666666666673</v>
      </c>
      <c r="AB95" t="s">
        <v>47</v>
      </c>
      <c r="AC95">
        <v>35</v>
      </c>
      <c r="AD95">
        <v>39892</v>
      </c>
      <c r="AE95">
        <v>55410</v>
      </c>
      <c r="AF95">
        <v>74.844074844074854</v>
      </c>
      <c r="AG95">
        <v>0.96199999999999997</v>
      </c>
      <c r="AH95">
        <v>0.33</v>
      </c>
      <c r="AI95">
        <v>1</v>
      </c>
      <c r="AJ95">
        <v>9</v>
      </c>
      <c r="AK95">
        <v>17</v>
      </c>
      <c r="AL95">
        <v>8</v>
      </c>
    </row>
    <row r="96" spans="1:38" x14ac:dyDescent="0.35">
      <c r="A96" t="s">
        <v>681</v>
      </c>
      <c r="B96">
        <v>323475.79129999969</v>
      </c>
      <c r="C96">
        <v>6401219.8768000007</v>
      </c>
      <c r="D96">
        <v>7337322</v>
      </c>
      <c r="E96" t="s">
        <v>682</v>
      </c>
      <c r="F96" t="s">
        <v>683</v>
      </c>
      <c r="G96">
        <v>121161</v>
      </c>
      <c r="H96">
        <v>2</v>
      </c>
      <c r="I96" t="s">
        <v>684</v>
      </c>
      <c r="J96" t="s">
        <v>685</v>
      </c>
      <c r="K96">
        <v>136739</v>
      </c>
      <c r="L96">
        <v>2</v>
      </c>
      <c r="M96">
        <v>15578</v>
      </c>
      <c r="N96" t="s">
        <v>686</v>
      </c>
      <c r="O96" t="s">
        <v>687</v>
      </c>
      <c r="P96">
        <v>146625</v>
      </c>
      <c r="Q96">
        <v>2</v>
      </c>
      <c r="R96">
        <v>25464</v>
      </c>
      <c r="S96">
        <v>0.61199999999999999</v>
      </c>
      <c r="T96">
        <v>0.20300000000000001</v>
      </c>
      <c r="U96">
        <v>11</v>
      </c>
      <c r="V96">
        <v>1</v>
      </c>
      <c r="W96">
        <v>52</v>
      </c>
      <c r="X96">
        <v>41</v>
      </c>
      <c r="Y96">
        <v>0</v>
      </c>
      <c r="Z96">
        <v>33.655833333333327</v>
      </c>
      <c r="AA96">
        <v>37.983055555555559</v>
      </c>
      <c r="AB96" t="s">
        <v>47</v>
      </c>
      <c r="AC96">
        <v>33</v>
      </c>
      <c r="AD96">
        <v>34761</v>
      </c>
      <c r="AE96">
        <v>50339</v>
      </c>
      <c r="AF96">
        <v>52</v>
      </c>
      <c r="AG96">
        <v>1</v>
      </c>
      <c r="AH96">
        <v>0.20300000000000001</v>
      </c>
      <c r="AI96">
        <v>1</v>
      </c>
      <c r="AJ96">
        <v>8</v>
      </c>
      <c r="AK96">
        <v>16</v>
      </c>
      <c r="AL96">
        <v>8</v>
      </c>
    </row>
    <row r="97" spans="1:38" x14ac:dyDescent="0.35">
      <c r="A97" t="s">
        <v>688</v>
      </c>
      <c r="B97">
        <v>323475.79129999969</v>
      </c>
      <c r="C97">
        <v>6401219.8768000007</v>
      </c>
      <c r="D97">
        <v>4609228</v>
      </c>
      <c r="E97" t="s">
        <v>689</v>
      </c>
      <c r="F97" t="s">
        <v>690</v>
      </c>
      <c r="G97">
        <v>115045</v>
      </c>
      <c r="H97">
        <v>2</v>
      </c>
      <c r="I97" t="s">
        <v>691</v>
      </c>
      <c r="J97" t="s">
        <v>692</v>
      </c>
      <c r="K97">
        <v>130669</v>
      </c>
      <c r="L97">
        <v>2</v>
      </c>
      <c r="M97">
        <v>15624</v>
      </c>
      <c r="N97" t="s">
        <v>693</v>
      </c>
      <c r="O97" t="s">
        <v>694</v>
      </c>
      <c r="P97">
        <v>146168</v>
      </c>
      <c r="Q97">
        <v>2</v>
      </c>
      <c r="R97">
        <v>31123</v>
      </c>
      <c r="S97">
        <v>0.502</v>
      </c>
      <c r="T97">
        <v>0.41499999999999998</v>
      </c>
      <c r="U97">
        <v>31</v>
      </c>
      <c r="V97">
        <v>1</v>
      </c>
      <c r="W97">
        <v>75</v>
      </c>
      <c r="X97">
        <v>44</v>
      </c>
      <c r="Y97">
        <v>0</v>
      </c>
      <c r="Z97">
        <v>31.956944444444439</v>
      </c>
      <c r="AA97">
        <v>36.296944444444442</v>
      </c>
      <c r="AB97" t="s">
        <v>47</v>
      </c>
      <c r="AC97">
        <v>31</v>
      </c>
      <c r="AD97">
        <v>28645</v>
      </c>
      <c r="AE97">
        <v>44269</v>
      </c>
      <c r="AF97">
        <v>75</v>
      </c>
      <c r="AG97">
        <v>1</v>
      </c>
      <c r="AH97">
        <v>0.41499999999999998</v>
      </c>
      <c r="AI97">
        <v>1</v>
      </c>
      <c r="AJ97">
        <v>6</v>
      </c>
      <c r="AK97">
        <v>14</v>
      </c>
      <c r="AL97">
        <v>8</v>
      </c>
    </row>
    <row r="98" spans="1:38" x14ac:dyDescent="0.35">
      <c r="A98" t="s">
        <v>695</v>
      </c>
      <c r="B98">
        <v>323475.79129999969</v>
      </c>
      <c r="C98">
        <v>6401219.8768000007</v>
      </c>
      <c r="D98">
        <v>4602392</v>
      </c>
      <c r="E98" t="s">
        <v>696</v>
      </c>
      <c r="F98" t="s">
        <v>697</v>
      </c>
      <c r="G98">
        <v>125221</v>
      </c>
      <c r="H98">
        <v>2</v>
      </c>
      <c r="I98" t="s">
        <v>698</v>
      </c>
      <c r="J98" t="s">
        <v>699</v>
      </c>
      <c r="K98">
        <v>141054</v>
      </c>
      <c r="L98">
        <v>2</v>
      </c>
      <c r="M98">
        <v>15833</v>
      </c>
      <c r="N98" t="s">
        <v>700</v>
      </c>
      <c r="O98" t="s">
        <v>701</v>
      </c>
      <c r="P98">
        <v>151141</v>
      </c>
      <c r="Q98">
        <v>2</v>
      </c>
      <c r="R98">
        <v>25920</v>
      </c>
      <c r="S98">
        <v>0.61099999999999999</v>
      </c>
      <c r="T98">
        <v>0.40600000000000003</v>
      </c>
      <c r="U98">
        <v>30</v>
      </c>
      <c r="V98">
        <v>1</v>
      </c>
      <c r="W98">
        <v>75</v>
      </c>
      <c r="X98">
        <v>45</v>
      </c>
      <c r="Y98">
        <v>0</v>
      </c>
      <c r="Z98">
        <v>34.783611111111107</v>
      </c>
      <c r="AA98">
        <v>39.181666666666658</v>
      </c>
      <c r="AB98" t="s">
        <v>47</v>
      </c>
      <c r="AC98">
        <v>34</v>
      </c>
      <c r="AD98">
        <v>38821</v>
      </c>
      <c r="AE98">
        <v>54654</v>
      </c>
      <c r="AF98">
        <v>75</v>
      </c>
      <c r="AG98">
        <v>1</v>
      </c>
      <c r="AH98">
        <v>0.40600000000000003</v>
      </c>
      <c r="AI98">
        <v>1</v>
      </c>
      <c r="AJ98">
        <v>9</v>
      </c>
      <c r="AK98">
        <v>17</v>
      </c>
      <c r="AL98">
        <v>8</v>
      </c>
    </row>
    <row r="99" spans="1:38" x14ac:dyDescent="0.35">
      <c r="A99" t="s">
        <v>702</v>
      </c>
      <c r="B99">
        <v>323475.79129999969</v>
      </c>
      <c r="C99">
        <v>6401219.8768000007</v>
      </c>
      <c r="D99">
        <v>1876802</v>
      </c>
      <c r="E99" t="s">
        <v>703</v>
      </c>
      <c r="F99" t="s">
        <v>704</v>
      </c>
      <c r="G99">
        <v>115986</v>
      </c>
      <c r="H99">
        <v>2</v>
      </c>
      <c r="I99" t="s">
        <v>705</v>
      </c>
      <c r="J99" t="s">
        <v>706</v>
      </c>
      <c r="K99">
        <v>131854</v>
      </c>
      <c r="L99">
        <v>2</v>
      </c>
      <c r="M99">
        <v>15868</v>
      </c>
      <c r="N99" t="s">
        <v>707</v>
      </c>
      <c r="O99" t="s">
        <v>708</v>
      </c>
      <c r="P99">
        <v>143715</v>
      </c>
      <c r="Q99">
        <v>2</v>
      </c>
      <c r="R99">
        <v>27729</v>
      </c>
      <c r="S99">
        <v>0.57199999999999995</v>
      </c>
      <c r="T99">
        <v>0.28799999999999998</v>
      </c>
      <c r="U99">
        <v>17</v>
      </c>
      <c r="V99">
        <v>1</v>
      </c>
      <c r="W99">
        <v>60</v>
      </c>
      <c r="X99">
        <v>43</v>
      </c>
      <c r="Y99">
        <v>0</v>
      </c>
      <c r="Z99">
        <v>32.218333333333327</v>
      </c>
      <c r="AA99">
        <v>36.626111111111122</v>
      </c>
      <c r="AB99" t="s">
        <v>47</v>
      </c>
      <c r="AC99">
        <v>32</v>
      </c>
      <c r="AD99">
        <v>29586</v>
      </c>
      <c r="AE99">
        <v>45454</v>
      </c>
      <c r="AF99">
        <v>60</v>
      </c>
      <c r="AG99">
        <v>1</v>
      </c>
      <c r="AH99">
        <v>0.28799999999999998</v>
      </c>
      <c r="AI99">
        <v>1</v>
      </c>
      <c r="AJ99">
        <v>6</v>
      </c>
      <c r="AK99">
        <v>15</v>
      </c>
      <c r="AL99">
        <v>9</v>
      </c>
    </row>
    <row r="100" spans="1:38" x14ac:dyDescent="0.35">
      <c r="A100" t="s">
        <v>709</v>
      </c>
      <c r="B100">
        <v>323475.79129999969</v>
      </c>
      <c r="C100">
        <v>6401219.8768000007</v>
      </c>
      <c r="D100">
        <v>2030367</v>
      </c>
      <c r="E100" t="s">
        <v>710</v>
      </c>
      <c r="F100" t="s">
        <v>711</v>
      </c>
      <c r="G100">
        <v>128008</v>
      </c>
      <c r="H100">
        <v>2</v>
      </c>
      <c r="I100" t="s">
        <v>712</v>
      </c>
      <c r="J100" t="s">
        <v>713</v>
      </c>
      <c r="K100">
        <v>143934</v>
      </c>
      <c r="L100">
        <v>2</v>
      </c>
      <c r="M100">
        <v>15926</v>
      </c>
      <c r="N100" t="s">
        <v>714</v>
      </c>
      <c r="O100" t="s">
        <v>715</v>
      </c>
      <c r="P100">
        <v>146732</v>
      </c>
      <c r="Q100">
        <v>2</v>
      </c>
      <c r="R100">
        <v>18724</v>
      </c>
      <c r="S100">
        <v>0.85099999999999998</v>
      </c>
      <c r="T100">
        <v>0.28499999999999998</v>
      </c>
      <c r="U100">
        <v>17</v>
      </c>
      <c r="V100">
        <v>1</v>
      </c>
      <c r="W100">
        <v>60</v>
      </c>
      <c r="X100">
        <v>43</v>
      </c>
      <c r="Y100">
        <v>0</v>
      </c>
      <c r="Z100">
        <v>35.557777777777773</v>
      </c>
      <c r="AA100">
        <v>39.981666666666669</v>
      </c>
      <c r="AB100" t="s">
        <v>47</v>
      </c>
      <c r="AC100">
        <v>35</v>
      </c>
      <c r="AD100">
        <v>41608</v>
      </c>
      <c r="AE100">
        <v>57534</v>
      </c>
      <c r="AF100">
        <v>60</v>
      </c>
      <c r="AG100">
        <v>1</v>
      </c>
      <c r="AH100">
        <v>0.28499999999999998</v>
      </c>
      <c r="AI100">
        <v>1</v>
      </c>
      <c r="AJ100">
        <v>10</v>
      </c>
      <c r="AK100">
        <v>18</v>
      </c>
      <c r="AL100">
        <v>8</v>
      </c>
    </row>
    <row r="101" spans="1:38" x14ac:dyDescent="0.35">
      <c r="A101" t="s">
        <v>716</v>
      </c>
      <c r="B101">
        <v>323475.79129999969</v>
      </c>
      <c r="C101">
        <v>6401219.8768000007</v>
      </c>
      <c r="D101">
        <v>4661369</v>
      </c>
      <c r="E101" t="s">
        <v>717</v>
      </c>
      <c r="F101" t="s">
        <v>718</v>
      </c>
      <c r="G101">
        <v>128940</v>
      </c>
      <c r="H101">
        <v>2</v>
      </c>
      <c r="I101" t="s">
        <v>719</v>
      </c>
      <c r="J101" t="s">
        <v>720</v>
      </c>
      <c r="K101">
        <v>144869</v>
      </c>
      <c r="L101">
        <v>2</v>
      </c>
      <c r="M101">
        <v>15929</v>
      </c>
      <c r="N101" t="s">
        <v>721</v>
      </c>
      <c r="O101" t="s">
        <v>722</v>
      </c>
      <c r="P101">
        <v>152589</v>
      </c>
      <c r="Q101">
        <v>2</v>
      </c>
      <c r="R101">
        <v>23649</v>
      </c>
      <c r="S101">
        <v>0.67400000000000004</v>
      </c>
      <c r="T101">
        <v>0.28499999999999998</v>
      </c>
      <c r="U101">
        <v>17</v>
      </c>
      <c r="V101">
        <v>1</v>
      </c>
      <c r="W101">
        <v>60</v>
      </c>
      <c r="X101">
        <v>43</v>
      </c>
      <c r="Y101">
        <v>0</v>
      </c>
      <c r="Z101">
        <v>35.81666666666667</v>
      </c>
      <c r="AA101">
        <v>40.241388888888892</v>
      </c>
      <c r="AB101" t="s">
        <v>47</v>
      </c>
      <c r="AC101">
        <v>35</v>
      </c>
      <c r="AD101">
        <v>42540</v>
      </c>
      <c r="AE101">
        <v>58469</v>
      </c>
      <c r="AF101">
        <v>60</v>
      </c>
      <c r="AG101">
        <v>1</v>
      </c>
      <c r="AH101">
        <v>0.28499999999999998</v>
      </c>
      <c r="AI101">
        <v>1</v>
      </c>
      <c r="AJ101">
        <v>10</v>
      </c>
      <c r="AK101">
        <v>18</v>
      </c>
      <c r="AL101">
        <v>8</v>
      </c>
    </row>
    <row r="102" spans="1:38" x14ac:dyDescent="0.35">
      <c r="A102" t="s">
        <v>723</v>
      </c>
      <c r="B102">
        <v>323475.79129999969</v>
      </c>
      <c r="C102">
        <v>6401219.8768000007</v>
      </c>
      <c r="D102">
        <v>9395674</v>
      </c>
      <c r="E102" t="s">
        <v>724</v>
      </c>
      <c r="F102" t="s">
        <v>725</v>
      </c>
      <c r="G102">
        <v>112049</v>
      </c>
      <c r="H102">
        <v>2</v>
      </c>
      <c r="I102" t="s">
        <v>726</v>
      </c>
      <c r="J102" t="s">
        <v>727</v>
      </c>
      <c r="K102">
        <v>128044</v>
      </c>
      <c r="L102">
        <v>2</v>
      </c>
      <c r="M102">
        <v>15995</v>
      </c>
      <c r="N102" t="s">
        <v>728</v>
      </c>
      <c r="O102" t="s">
        <v>729</v>
      </c>
      <c r="P102">
        <v>145458</v>
      </c>
      <c r="Q102">
        <v>2</v>
      </c>
      <c r="R102">
        <v>33409</v>
      </c>
      <c r="S102">
        <v>0.47899999999999998</v>
      </c>
      <c r="T102">
        <v>0.28199999999999997</v>
      </c>
      <c r="U102">
        <v>17</v>
      </c>
      <c r="V102">
        <v>1</v>
      </c>
      <c r="W102">
        <v>60</v>
      </c>
      <c r="X102">
        <v>43</v>
      </c>
      <c r="Y102">
        <v>0</v>
      </c>
      <c r="Z102">
        <v>31.124722222222221</v>
      </c>
      <c r="AA102">
        <v>35.567777777777778</v>
      </c>
      <c r="AB102" t="s">
        <v>47</v>
      </c>
      <c r="AC102">
        <v>31</v>
      </c>
      <c r="AD102">
        <v>25649</v>
      </c>
      <c r="AE102">
        <v>41644</v>
      </c>
      <c r="AF102">
        <v>60</v>
      </c>
      <c r="AG102">
        <v>1</v>
      </c>
      <c r="AH102">
        <v>0.28199999999999997</v>
      </c>
      <c r="AI102">
        <v>1</v>
      </c>
      <c r="AJ102">
        <v>5</v>
      </c>
      <c r="AK102">
        <v>14</v>
      </c>
      <c r="AL102">
        <v>9</v>
      </c>
    </row>
    <row r="103" spans="1:38" x14ac:dyDescent="0.35">
      <c r="A103" t="s">
        <v>730</v>
      </c>
      <c r="B103">
        <v>323475.79129999969</v>
      </c>
      <c r="C103">
        <v>6401219.8768000007</v>
      </c>
      <c r="D103">
        <v>4696924</v>
      </c>
      <c r="E103" t="s">
        <v>731</v>
      </c>
      <c r="F103" t="s">
        <v>732</v>
      </c>
      <c r="G103">
        <v>122693</v>
      </c>
      <c r="H103">
        <v>2</v>
      </c>
      <c r="I103" t="s">
        <v>733</v>
      </c>
      <c r="J103" t="s">
        <v>734</v>
      </c>
      <c r="K103">
        <v>138729</v>
      </c>
      <c r="L103">
        <v>2</v>
      </c>
      <c r="M103">
        <v>16036</v>
      </c>
      <c r="N103" t="s">
        <v>735</v>
      </c>
      <c r="O103" t="s">
        <v>736</v>
      </c>
      <c r="P103">
        <v>150155</v>
      </c>
      <c r="Q103">
        <v>2</v>
      </c>
      <c r="R103">
        <v>27462</v>
      </c>
      <c r="S103">
        <v>0.58399999999999996</v>
      </c>
      <c r="T103">
        <v>0.17599999999999999</v>
      </c>
      <c r="U103">
        <v>9</v>
      </c>
      <c r="V103">
        <v>1</v>
      </c>
      <c r="W103">
        <v>52</v>
      </c>
      <c r="X103">
        <v>43</v>
      </c>
      <c r="Y103">
        <v>0</v>
      </c>
      <c r="Z103">
        <v>34.081388888888902</v>
      </c>
      <c r="AA103">
        <v>38.535833333333329</v>
      </c>
      <c r="AB103" t="s">
        <v>47</v>
      </c>
      <c r="AC103">
        <v>34</v>
      </c>
      <c r="AD103">
        <v>36293</v>
      </c>
      <c r="AE103">
        <v>52329</v>
      </c>
      <c r="AF103">
        <v>52</v>
      </c>
      <c r="AG103">
        <v>1</v>
      </c>
      <c r="AH103">
        <v>0.17599999999999999</v>
      </c>
      <c r="AI103">
        <v>1</v>
      </c>
      <c r="AJ103">
        <v>8</v>
      </c>
      <c r="AK103">
        <v>17</v>
      </c>
      <c r="AL103">
        <v>9</v>
      </c>
    </row>
    <row r="104" spans="1:38" x14ac:dyDescent="0.35">
      <c r="A104" t="s">
        <v>737</v>
      </c>
      <c r="B104">
        <v>323475.79129999969</v>
      </c>
      <c r="C104">
        <v>6401219.8768000007</v>
      </c>
      <c r="D104">
        <v>9484735</v>
      </c>
      <c r="E104" t="s">
        <v>738</v>
      </c>
      <c r="F104" t="s">
        <v>739</v>
      </c>
      <c r="G104">
        <v>123117</v>
      </c>
      <c r="H104">
        <v>2</v>
      </c>
      <c r="I104" t="s">
        <v>740</v>
      </c>
      <c r="J104" t="s">
        <v>741</v>
      </c>
      <c r="K104">
        <v>139159</v>
      </c>
      <c r="L104">
        <v>2</v>
      </c>
      <c r="M104">
        <v>16042</v>
      </c>
      <c r="N104" t="s">
        <v>742</v>
      </c>
      <c r="O104" t="s">
        <v>743</v>
      </c>
      <c r="P104">
        <v>152651</v>
      </c>
      <c r="Q104">
        <v>2</v>
      </c>
      <c r="R104">
        <v>29534</v>
      </c>
      <c r="S104">
        <v>0.54300000000000004</v>
      </c>
      <c r="T104">
        <v>0.27900000000000003</v>
      </c>
      <c r="U104">
        <v>17</v>
      </c>
      <c r="V104">
        <v>1</v>
      </c>
      <c r="W104">
        <v>60</v>
      </c>
      <c r="X104">
        <v>43</v>
      </c>
      <c r="Y104">
        <v>0</v>
      </c>
      <c r="Z104">
        <v>34.199166666666663</v>
      </c>
      <c r="AA104">
        <v>38.655277777777783</v>
      </c>
      <c r="AB104" t="s">
        <v>47</v>
      </c>
      <c r="AC104">
        <v>34</v>
      </c>
      <c r="AD104">
        <v>36717</v>
      </c>
      <c r="AE104">
        <v>52759</v>
      </c>
      <c r="AF104">
        <v>60</v>
      </c>
      <c r="AG104">
        <v>1</v>
      </c>
      <c r="AH104">
        <v>0.27900000000000003</v>
      </c>
      <c r="AI104">
        <v>1</v>
      </c>
      <c r="AJ104">
        <v>8</v>
      </c>
      <c r="AK104">
        <v>17</v>
      </c>
      <c r="AL104">
        <v>9</v>
      </c>
    </row>
    <row r="105" spans="1:38" x14ac:dyDescent="0.35">
      <c r="A105" t="s">
        <v>744</v>
      </c>
      <c r="B105">
        <v>323475.79129999969</v>
      </c>
      <c r="C105">
        <v>6401219.8768000007</v>
      </c>
      <c r="D105">
        <v>7449588</v>
      </c>
      <c r="E105" t="s">
        <v>745</v>
      </c>
      <c r="F105" t="s">
        <v>746</v>
      </c>
      <c r="G105">
        <v>137788</v>
      </c>
      <c r="H105">
        <v>2</v>
      </c>
      <c r="I105" t="s">
        <v>747</v>
      </c>
      <c r="J105" t="s">
        <v>748</v>
      </c>
      <c r="K105">
        <v>153834</v>
      </c>
      <c r="L105">
        <v>2</v>
      </c>
      <c r="M105">
        <v>16046</v>
      </c>
      <c r="N105" t="s">
        <v>749</v>
      </c>
      <c r="O105" t="s">
        <v>750</v>
      </c>
      <c r="P105">
        <v>157061</v>
      </c>
      <c r="Q105">
        <v>2</v>
      </c>
      <c r="R105">
        <v>19273</v>
      </c>
      <c r="S105">
        <v>0.83299999999999996</v>
      </c>
      <c r="T105">
        <v>0.39800000000000002</v>
      </c>
      <c r="U105">
        <v>30</v>
      </c>
      <c r="V105">
        <v>1</v>
      </c>
      <c r="W105">
        <v>75</v>
      </c>
      <c r="X105">
        <v>45</v>
      </c>
      <c r="Y105">
        <v>0</v>
      </c>
      <c r="Z105">
        <v>38.274444444444441</v>
      </c>
      <c r="AA105">
        <v>42.731666666666669</v>
      </c>
      <c r="AB105" t="s">
        <v>47</v>
      </c>
      <c r="AC105">
        <v>38</v>
      </c>
      <c r="AD105">
        <v>51388</v>
      </c>
      <c r="AE105">
        <v>67434</v>
      </c>
      <c r="AF105">
        <v>75</v>
      </c>
      <c r="AG105">
        <v>1</v>
      </c>
      <c r="AH105">
        <v>0.39800000000000002</v>
      </c>
      <c r="AI105">
        <v>1</v>
      </c>
      <c r="AJ105">
        <v>12</v>
      </c>
      <c r="AK105">
        <v>21</v>
      </c>
      <c r="AL105">
        <v>9</v>
      </c>
    </row>
    <row r="106" spans="1:38" x14ac:dyDescent="0.35">
      <c r="A106" t="s">
        <v>751</v>
      </c>
      <c r="B106">
        <v>323475.79129999969</v>
      </c>
      <c r="C106">
        <v>6401219.8768000007</v>
      </c>
      <c r="D106">
        <v>9670434</v>
      </c>
      <c r="E106" t="s">
        <v>752</v>
      </c>
      <c r="F106" t="s">
        <v>753</v>
      </c>
      <c r="G106">
        <v>121713</v>
      </c>
      <c r="H106">
        <v>2</v>
      </c>
      <c r="I106" t="s">
        <v>754</v>
      </c>
      <c r="J106" t="s">
        <v>755</v>
      </c>
      <c r="K106">
        <v>137939</v>
      </c>
      <c r="L106">
        <v>2</v>
      </c>
      <c r="M106">
        <v>16226</v>
      </c>
      <c r="N106" t="s">
        <v>756</v>
      </c>
      <c r="O106" t="s">
        <v>757</v>
      </c>
      <c r="P106">
        <v>144026</v>
      </c>
      <c r="Q106">
        <v>2</v>
      </c>
      <c r="R106">
        <v>22313</v>
      </c>
      <c r="S106">
        <v>0.72699999999999998</v>
      </c>
      <c r="T106">
        <v>0.27</v>
      </c>
      <c r="U106">
        <v>16</v>
      </c>
      <c r="V106">
        <v>1</v>
      </c>
      <c r="W106">
        <v>60</v>
      </c>
      <c r="X106">
        <v>44</v>
      </c>
      <c r="Y106">
        <v>0</v>
      </c>
      <c r="Z106">
        <v>33.809166666666663</v>
      </c>
      <c r="AA106">
        <v>38.316388888888888</v>
      </c>
      <c r="AB106" t="s">
        <v>47</v>
      </c>
      <c r="AC106">
        <v>33</v>
      </c>
      <c r="AD106">
        <v>35313</v>
      </c>
      <c r="AE106">
        <v>51539</v>
      </c>
      <c r="AF106">
        <v>60</v>
      </c>
      <c r="AG106">
        <v>1</v>
      </c>
      <c r="AH106">
        <v>0.27</v>
      </c>
      <c r="AI106">
        <v>1</v>
      </c>
      <c r="AJ106">
        <v>8</v>
      </c>
      <c r="AK106">
        <v>16</v>
      </c>
      <c r="AL106">
        <v>8</v>
      </c>
    </row>
    <row r="107" spans="1:38" x14ac:dyDescent="0.35">
      <c r="A107" t="s">
        <v>758</v>
      </c>
      <c r="B107">
        <v>323475.79129999969</v>
      </c>
      <c r="C107">
        <v>6401219.8768000007</v>
      </c>
      <c r="D107">
        <v>2323878</v>
      </c>
      <c r="E107" t="s">
        <v>759</v>
      </c>
      <c r="F107" t="s">
        <v>760</v>
      </c>
      <c r="G107">
        <v>119164</v>
      </c>
      <c r="H107">
        <v>2</v>
      </c>
      <c r="I107" t="s">
        <v>761</v>
      </c>
      <c r="J107" t="s">
        <v>762</v>
      </c>
      <c r="K107">
        <v>135434</v>
      </c>
      <c r="L107">
        <v>2</v>
      </c>
      <c r="M107">
        <v>16270</v>
      </c>
      <c r="N107" t="s">
        <v>763</v>
      </c>
      <c r="O107" t="s">
        <v>764</v>
      </c>
      <c r="P107">
        <v>149149</v>
      </c>
      <c r="Q107">
        <v>2</v>
      </c>
      <c r="R107">
        <v>29985</v>
      </c>
      <c r="S107">
        <v>0.54300000000000004</v>
      </c>
      <c r="T107">
        <v>0.38800000000000001</v>
      </c>
      <c r="U107">
        <v>29</v>
      </c>
      <c r="V107">
        <v>1</v>
      </c>
      <c r="W107">
        <v>75</v>
      </c>
      <c r="X107">
        <v>46</v>
      </c>
      <c r="Y107">
        <v>0</v>
      </c>
      <c r="Z107">
        <v>33.101111111111109</v>
      </c>
      <c r="AA107">
        <v>37.620555555555562</v>
      </c>
      <c r="AB107" t="s">
        <v>47</v>
      </c>
      <c r="AC107">
        <v>33</v>
      </c>
      <c r="AD107">
        <v>32764</v>
      </c>
      <c r="AE107">
        <v>49034</v>
      </c>
      <c r="AF107">
        <v>75</v>
      </c>
      <c r="AG107">
        <v>1</v>
      </c>
      <c r="AH107">
        <v>0.38800000000000001</v>
      </c>
      <c r="AI107">
        <v>1</v>
      </c>
      <c r="AJ107">
        <v>7</v>
      </c>
      <c r="AK107">
        <v>16</v>
      </c>
      <c r="AL107">
        <v>9</v>
      </c>
    </row>
    <row r="108" spans="1:38" x14ac:dyDescent="0.35">
      <c r="A108" t="s">
        <v>765</v>
      </c>
      <c r="B108">
        <v>323475.79129999969</v>
      </c>
      <c r="C108">
        <v>6401219.8768000007</v>
      </c>
      <c r="D108">
        <v>9396262</v>
      </c>
      <c r="E108" t="s">
        <v>766</v>
      </c>
      <c r="F108" t="s">
        <v>767</v>
      </c>
      <c r="G108">
        <v>128154</v>
      </c>
      <c r="H108">
        <v>2</v>
      </c>
      <c r="I108" t="s">
        <v>768</v>
      </c>
      <c r="J108" t="s">
        <v>769</v>
      </c>
      <c r="K108">
        <v>144567</v>
      </c>
      <c r="L108">
        <v>2</v>
      </c>
      <c r="M108">
        <v>16413</v>
      </c>
      <c r="N108" t="s">
        <v>768</v>
      </c>
      <c r="O108" t="s">
        <v>769</v>
      </c>
      <c r="P108">
        <v>144567</v>
      </c>
      <c r="Q108">
        <v>2</v>
      </c>
      <c r="R108">
        <v>16413</v>
      </c>
      <c r="S108">
        <v>1</v>
      </c>
      <c r="T108">
        <v>0.22</v>
      </c>
      <c r="U108">
        <v>16</v>
      </c>
      <c r="V108">
        <v>0.88800000000000001</v>
      </c>
      <c r="W108">
        <v>67</v>
      </c>
      <c r="X108">
        <v>50</v>
      </c>
      <c r="Y108">
        <v>0</v>
      </c>
      <c r="Z108">
        <v>35.598333333333343</v>
      </c>
      <c r="AA108">
        <v>40.157499999999999</v>
      </c>
      <c r="AB108" t="s">
        <v>47</v>
      </c>
      <c r="AC108">
        <v>35</v>
      </c>
      <c r="AD108">
        <v>41754</v>
      </c>
      <c r="AE108">
        <v>58167</v>
      </c>
      <c r="AF108">
        <v>75.450450450450447</v>
      </c>
      <c r="AG108">
        <v>0.88800000000000001</v>
      </c>
      <c r="AH108">
        <v>0.22</v>
      </c>
      <c r="AI108">
        <v>1</v>
      </c>
      <c r="AJ108">
        <v>10</v>
      </c>
      <c r="AK108">
        <v>18</v>
      </c>
      <c r="AL108">
        <v>8</v>
      </c>
    </row>
    <row r="109" spans="1:38" x14ac:dyDescent="0.35">
      <c r="A109" t="s">
        <v>770</v>
      </c>
      <c r="B109">
        <v>323475.79129999969</v>
      </c>
      <c r="C109">
        <v>6401219.8768000007</v>
      </c>
      <c r="D109">
        <v>1863297</v>
      </c>
      <c r="E109" t="s">
        <v>771</v>
      </c>
      <c r="F109" t="s">
        <v>772</v>
      </c>
      <c r="G109">
        <v>113499</v>
      </c>
      <c r="H109">
        <v>2</v>
      </c>
      <c r="I109" t="s">
        <v>773</v>
      </c>
      <c r="J109" t="s">
        <v>774</v>
      </c>
      <c r="K109">
        <v>129934</v>
      </c>
      <c r="L109">
        <v>2</v>
      </c>
      <c r="M109">
        <v>16435</v>
      </c>
      <c r="N109" t="s">
        <v>775</v>
      </c>
      <c r="O109" t="s">
        <v>776</v>
      </c>
      <c r="P109">
        <v>145447</v>
      </c>
      <c r="Q109">
        <v>2</v>
      </c>
      <c r="R109">
        <v>31948</v>
      </c>
      <c r="S109">
        <v>0.51400000000000001</v>
      </c>
      <c r="T109">
        <v>0.25900000000000001</v>
      </c>
      <c r="U109">
        <v>16</v>
      </c>
      <c r="V109">
        <v>1</v>
      </c>
      <c r="W109">
        <v>60</v>
      </c>
      <c r="X109">
        <v>44</v>
      </c>
      <c r="Y109">
        <v>0</v>
      </c>
      <c r="Z109">
        <v>31.5275</v>
      </c>
      <c r="AA109">
        <v>36.092777777777783</v>
      </c>
      <c r="AB109" t="s">
        <v>47</v>
      </c>
      <c r="AC109">
        <v>31</v>
      </c>
      <c r="AD109">
        <v>27099</v>
      </c>
      <c r="AE109">
        <v>43534</v>
      </c>
      <c r="AF109">
        <v>60</v>
      </c>
      <c r="AG109">
        <v>1</v>
      </c>
      <c r="AH109">
        <v>0.25900000000000001</v>
      </c>
      <c r="AI109">
        <v>1</v>
      </c>
      <c r="AJ109">
        <v>6</v>
      </c>
      <c r="AK109">
        <v>14</v>
      </c>
      <c r="AL109">
        <v>8</v>
      </c>
    </row>
    <row r="110" spans="1:38" x14ac:dyDescent="0.35">
      <c r="A110" t="s">
        <v>777</v>
      </c>
      <c r="B110">
        <v>323475.79129999969</v>
      </c>
      <c r="C110">
        <v>6401219.8768000007</v>
      </c>
      <c r="D110">
        <v>4706744</v>
      </c>
      <c r="E110" t="s">
        <v>778</v>
      </c>
      <c r="F110" t="s">
        <v>779</v>
      </c>
      <c r="G110">
        <v>118831</v>
      </c>
      <c r="H110">
        <v>2</v>
      </c>
      <c r="I110" t="s">
        <v>780</v>
      </c>
      <c r="J110" t="s">
        <v>781</v>
      </c>
      <c r="K110">
        <v>135299</v>
      </c>
      <c r="L110">
        <v>2</v>
      </c>
      <c r="M110">
        <v>16468</v>
      </c>
      <c r="N110" t="s">
        <v>782</v>
      </c>
      <c r="O110" t="s">
        <v>783</v>
      </c>
      <c r="P110">
        <v>151036</v>
      </c>
      <c r="Q110">
        <v>2</v>
      </c>
      <c r="R110">
        <v>32205</v>
      </c>
      <c r="S110">
        <v>0.51100000000000001</v>
      </c>
      <c r="T110">
        <v>0.151</v>
      </c>
      <c r="U110">
        <v>8</v>
      </c>
      <c r="V110">
        <v>1</v>
      </c>
      <c r="W110">
        <v>52</v>
      </c>
      <c r="X110">
        <v>44</v>
      </c>
      <c r="Y110">
        <v>0</v>
      </c>
      <c r="Z110">
        <v>33.008611111111108</v>
      </c>
      <c r="AA110">
        <v>37.583055555555561</v>
      </c>
      <c r="AB110" t="s">
        <v>47</v>
      </c>
      <c r="AC110">
        <v>33</v>
      </c>
      <c r="AD110">
        <v>32431</v>
      </c>
      <c r="AE110">
        <v>48899</v>
      </c>
      <c r="AF110">
        <v>52</v>
      </c>
      <c r="AG110">
        <v>1</v>
      </c>
      <c r="AH110">
        <v>0.151</v>
      </c>
      <c r="AI110">
        <v>1</v>
      </c>
      <c r="AJ110">
        <v>7</v>
      </c>
      <c r="AK110">
        <v>16</v>
      </c>
      <c r="AL110">
        <v>9</v>
      </c>
    </row>
    <row r="111" spans="1:38" x14ac:dyDescent="0.35">
      <c r="A111" t="s">
        <v>784</v>
      </c>
      <c r="B111">
        <v>323475.79129999969</v>
      </c>
      <c r="C111">
        <v>6401219.8768000007</v>
      </c>
      <c r="D111">
        <v>7313622</v>
      </c>
      <c r="E111" t="s">
        <v>785</v>
      </c>
      <c r="F111" t="s">
        <v>786</v>
      </c>
      <c r="G111">
        <v>126509</v>
      </c>
      <c r="H111">
        <v>2</v>
      </c>
      <c r="I111" t="s">
        <v>787</v>
      </c>
      <c r="J111" t="s">
        <v>788</v>
      </c>
      <c r="K111">
        <v>143014</v>
      </c>
      <c r="L111">
        <v>2</v>
      </c>
      <c r="M111">
        <v>16505</v>
      </c>
      <c r="N111" t="s">
        <v>789</v>
      </c>
      <c r="O111" t="s">
        <v>790</v>
      </c>
      <c r="P111">
        <v>151609</v>
      </c>
      <c r="Q111">
        <v>2</v>
      </c>
      <c r="R111">
        <v>25100</v>
      </c>
      <c r="S111">
        <v>0.65800000000000003</v>
      </c>
      <c r="T111">
        <v>0.25600000000000001</v>
      </c>
      <c r="U111">
        <v>15</v>
      </c>
      <c r="V111">
        <v>1</v>
      </c>
      <c r="W111">
        <v>60</v>
      </c>
      <c r="X111">
        <v>45</v>
      </c>
      <c r="Y111">
        <v>0</v>
      </c>
      <c r="Z111">
        <v>35.141388888888891</v>
      </c>
      <c r="AA111">
        <v>39.726111111111123</v>
      </c>
      <c r="AB111" t="s">
        <v>47</v>
      </c>
      <c r="AC111">
        <v>35</v>
      </c>
      <c r="AD111">
        <v>40109</v>
      </c>
      <c r="AE111">
        <v>56614</v>
      </c>
      <c r="AF111">
        <v>60</v>
      </c>
      <c r="AG111">
        <v>1</v>
      </c>
      <c r="AH111">
        <v>0.25600000000000001</v>
      </c>
      <c r="AI111">
        <v>1</v>
      </c>
      <c r="AJ111">
        <v>9</v>
      </c>
      <c r="AK111">
        <v>18</v>
      </c>
      <c r="AL111">
        <v>9</v>
      </c>
    </row>
    <row r="112" spans="1:38" x14ac:dyDescent="0.35">
      <c r="A112" t="s">
        <v>791</v>
      </c>
      <c r="B112">
        <v>323475.79129999969</v>
      </c>
      <c r="C112">
        <v>6401219.8768000007</v>
      </c>
      <c r="D112">
        <v>3041291</v>
      </c>
      <c r="E112" t="s">
        <v>792</v>
      </c>
      <c r="F112" t="s">
        <v>793</v>
      </c>
      <c r="G112">
        <v>127992</v>
      </c>
      <c r="H112">
        <v>2</v>
      </c>
      <c r="I112" t="s">
        <v>794</v>
      </c>
      <c r="J112" t="s">
        <v>795</v>
      </c>
      <c r="K112">
        <v>144524</v>
      </c>
      <c r="L112">
        <v>2</v>
      </c>
      <c r="M112">
        <v>16532</v>
      </c>
      <c r="N112" t="s">
        <v>796</v>
      </c>
      <c r="O112" t="s">
        <v>797</v>
      </c>
      <c r="P112">
        <v>150374</v>
      </c>
      <c r="Q112">
        <v>2</v>
      </c>
      <c r="R112">
        <v>22382</v>
      </c>
      <c r="S112">
        <v>0.73899999999999999</v>
      </c>
      <c r="T112">
        <v>0.378</v>
      </c>
      <c r="U112">
        <v>28</v>
      </c>
      <c r="V112">
        <v>1</v>
      </c>
      <c r="W112">
        <v>75</v>
      </c>
      <c r="X112">
        <v>47</v>
      </c>
      <c r="Y112">
        <v>0</v>
      </c>
      <c r="Z112">
        <v>35.553333333333327</v>
      </c>
      <c r="AA112">
        <v>40.145555555555553</v>
      </c>
      <c r="AB112" t="s">
        <v>47</v>
      </c>
      <c r="AC112">
        <v>35</v>
      </c>
      <c r="AD112">
        <v>41592</v>
      </c>
      <c r="AE112">
        <v>58124</v>
      </c>
      <c r="AF112">
        <v>75</v>
      </c>
      <c r="AG112">
        <v>1</v>
      </c>
      <c r="AH112">
        <v>0.378</v>
      </c>
      <c r="AI112">
        <v>1</v>
      </c>
      <c r="AJ112">
        <v>10</v>
      </c>
      <c r="AK112">
        <v>18</v>
      </c>
      <c r="AL112">
        <v>8</v>
      </c>
    </row>
    <row r="113" spans="1:38" x14ac:dyDescent="0.35">
      <c r="A113" t="s">
        <v>798</v>
      </c>
      <c r="B113">
        <v>323475.79129999969</v>
      </c>
      <c r="C113">
        <v>6401219.8768000007</v>
      </c>
      <c r="D113">
        <v>2334244</v>
      </c>
      <c r="E113" t="s">
        <v>799</v>
      </c>
      <c r="F113" t="s">
        <v>800</v>
      </c>
      <c r="G113">
        <v>137190</v>
      </c>
      <c r="H113">
        <v>2</v>
      </c>
      <c r="I113" t="s">
        <v>801</v>
      </c>
      <c r="J113" t="s">
        <v>802</v>
      </c>
      <c r="K113">
        <v>153808</v>
      </c>
      <c r="L113">
        <v>2</v>
      </c>
      <c r="M113">
        <v>16618</v>
      </c>
      <c r="N113" t="s">
        <v>801</v>
      </c>
      <c r="O113" t="s">
        <v>802</v>
      </c>
      <c r="P113">
        <v>153808</v>
      </c>
      <c r="Q113">
        <v>2</v>
      </c>
      <c r="R113">
        <v>16618</v>
      </c>
      <c r="S113">
        <v>1</v>
      </c>
      <c r="T113">
        <v>0.20399999999999999</v>
      </c>
      <c r="U113">
        <v>15</v>
      </c>
      <c r="V113">
        <v>0.88100000000000001</v>
      </c>
      <c r="W113">
        <v>66</v>
      </c>
      <c r="X113">
        <v>51</v>
      </c>
      <c r="Y113">
        <v>0</v>
      </c>
      <c r="Z113">
        <v>38.108333333333327</v>
      </c>
      <c r="AA113">
        <v>42.724444444444451</v>
      </c>
      <c r="AB113" t="s">
        <v>47</v>
      </c>
      <c r="AC113">
        <v>38</v>
      </c>
      <c r="AD113">
        <v>50790</v>
      </c>
      <c r="AE113">
        <v>67408</v>
      </c>
      <c r="AF113">
        <v>74.914869466515327</v>
      </c>
      <c r="AG113">
        <v>0.88100000000000001</v>
      </c>
      <c r="AH113">
        <v>0.20399999999999999</v>
      </c>
      <c r="AI113">
        <v>1</v>
      </c>
      <c r="AJ113">
        <v>12</v>
      </c>
      <c r="AK113">
        <v>21</v>
      </c>
      <c r="AL113">
        <v>9</v>
      </c>
    </row>
    <row r="114" spans="1:38" x14ac:dyDescent="0.35">
      <c r="A114" t="s">
        <v>803</v>
      </c>
      <c r="B114">
        <v>323475.79129999969</v>
      </c>
      <c r="C114">
        <v>6401219.8768000007</v>
      </c>
      <c r="D114">
        <v>1965760</v>
      </c>
      <c r="E114" t="s">
        <v>804</v>
      </c>
      <c r="F114" t="s">
        <v>805</v>
      </c>
      <c r="G114">
        <v>111642</v>
      </c>
      <c r="H114">
        <v>2</v>
      </c>
      <c r="I114" t="s">
        <v>806</v>
      </c>
      <c r="J114" t="s">
        <v>807</v>
      </c>
      <c r="K114">
        <v>128324</v>
      </c>
      <c r="L114">
        <v>2</v>
      </c>
      <c r="M114">
        <v>16682</v>
      </c>
      <c r="N114" t="s">
        <v>808</v>
      </c>
      <c r="O114" t="s">
        <v>809</v>
      </c>
      <c r="P114">
        <v>143211</v>
      </c>
      <c r="Q114">
        <v>2</v>
      </c>
      <c r="R114">
        <v>31569</v>
      </c>
      <c r="S114">
        <v>0.52800000000000002</v>
      </c>
      <c r="T114">
        <v>0.13900000000000001</v>
      </c>
      <c r="U114">
        <v>7</v>
      </c>
      <c r="V114">
        <v>1</v>
      </c>
      <c r="W114">
        <v>52</v>
      </c>
      <c r="X114">
        <v>45</v>
      </c>
      <c r="Y114">
        <v>0</v>
      </c>
      <c r="Z114">
        <v>31.01166666666667</v>
      </c>
      <c r="AA114">
        <v>35.645555555555553</v>
      </c>
      <c r="AB114" t="s">
        <v>47</v>
      </c>
      <c r="AC114">
        <v>31</v>
      </c>
      <c r="AD114">
        <v>25242</v>
      </c>
      <c r="AE114">
        <v>41924</v>
      </c>
      <c r="AF114">
        <v>52</v>
      </c>
      <c r="AG114">
        <v>1</v>
      </c>
      <c r="AH114">
        <v>0.13900000000000001</v>
      </c>
      <c r="AI114">
        <v>1</v>
      </c>
      <c r="AJ114">
        <v>5</v>
      </c>
      <c r="AK114">
        <v>14</v>
      </c>
      <c r="AL114">
        <v>9</v>
      </c>
    </row>
    <row r="115" spans="1:38" x14ac:dyDescent="0.35">
      <c r="A115" t="s">
        <v>810</v>
      </c>
      <c r="B115">
        <v>323475.79129999969</v>
      </c>
      <c r="C115">
        <v>6401219.8768000007</v>
      </c>
      <c r="D115">
        <v>9489291</v>
      </c>
      <c r="E115" t="s">
        <v>811</v>
      </c>
      <c r="F115" t="s">
        <v>812</v>
      </c>
      <c r="G115">
        <v>132241</v>
      </c>
      <c r="H115">
        <v>2</v>
      </c>
      <c r="I115" t="s">
        <v>813</v>
      </c>
      <c r="J115" t="s">
        <v>814</v>
      </c>
      <c r="K115">
        <v>149075</v>
      </c>
      <c r="L115">
        <v>2</v>
      </c>
      <c r="M115">
        <v>16834</v>
      </c>
      <c r="N115" t="s">
        <v>813</v>
      </c>
      <c r="O115" t="s">
        <v>814</v>
      </c>
      <c r="P115">
        <v>149075</v>
      </c>
      <c r="Q115">
        <v>2</v>
      </c>
      <c r="R115">
        <v>16834</v>
      </c>
      <c r="S115">
        <v>1</v>
      </c>
      <c r="T115">
        <v>0.17499999999999999</v>
      </c>
      <c r="U115">
        <v>11</v>
      </c>
      <c r="V115">
        <v>0.99299999999999999</v>
      </c>
      <c r="W115">
        <v>60</v>
      </c>
      <c r="X115">
        <v>49</v>
      </c>
      <c r="Y115">
        <v>0</v>
      </c>
      <c r="Z115">
        <v>36.733611111111109</v>
      </c>
      <c r="AA115">
        <v>41.409722222222221</v>
      </c>
      <c r="AB115" t="s">
        <v>47</v>
      </c>
      <c r="AC115">
        <v>36</v>
      </c>
      <c r="AD115">
        <v>45841</v>
      </c>
      <c r="AE115">
        <v>62675</v>
      </c>
      <c r="AF115">
        <v>60.422960725075527</v>
      </c>
      <c r="AG115">
        <v>0.99299999999999999</v>
      </c>
      <c r="AH115">
        <v>0.17499999999999999</v>
      </c>
      <c r="AI115">
        <v>1</v>
      </c>
      <c r="AJ115">
        <v>11</v>
      </c>
      <c r="AK115">
        <v>19</v>
      </c>
      <c r="AL115">
        <v>8</v>
      </c>
    </row>
    <row r="116" spans="1:38" x14ac:dyDescent="0.35">
      <c r="A116" t="s">
        <v>815</v>
      </c>
      <c r="B116">
        <v>323475.79129999969</v>
      </c>
      <c r="C116">
        <v>6401219.8768000007</v>
      </c>
      <c r="D116">
        <v>2016954</v>
      </c>
      <c r="E116" t="s">
        <v>816</v>
      </c>
      <c r="F116" t="s">
        <v>817</v>
      </c>
      <c r="G116">
        <v>119265</v>
      </c>
      <c r="H116">
        <v>2</v>
      </c>
      <c r="I116" t="s">
        <v>818</v>
      </c>
      <c r="J116" t="s">
        <v>819</v>
      </c>
      <c r="K116">
        <v>136404</v>
      </c>
      <c r="L116">
        <v>2</v>
      </c>
      <c r="M116">
        <v>17139</v>
      </c>
      <c r="N116" t="s">
        <v>820</v>
      </c>
      <c r="O116" t="s">
        <v>821</v>
      </c>
      <c r="P116">
        <v>146504</v>
      </c>
      <c r="Q116">
        <v>2</v>
      </c>
      <c r="R116">
        <v>27239</v>
      </c>
      <c r="S116">
        <v>0.629</v>
      </c>
      <c r="T116">
        <v>0.224</v>
      </c>
      <c r="U116">
        <v>13</v>
      </c>
      <c r="V116">
        <v>1</v>
      </c>
      <c r="W116">
        <v>60</v>
      </c>
      <c r="X116">
        <v>47</v>
      </c>
      <c r="Y116">
        <v>0</v>
      </c>
      <c r="Z116">
        <v>33.12916666666667</v>
      </c>
      <c r="AA116">
        <v>37.89</v>
      </c>
      <c r="AB116" t="s">
        <v>47</v>
      </c>
      <c r="AC116">
        <v>33</v>
      </c>
      <c r="AD116">
        <v>32865</v>
      </c>
      <c r="AE116">
        <v>50004</v>
      </c>
      <c r="AF116">
        <v>60</v>
      </c>
      <c r="AG116">
        <v>1</v>
      </c>
      <c r="AH116">
        <v>0.224</v>
      </c>
      <c r="AI116">
        <v>1</v>
      </c>
      <c r="AJ116">
        <v>7</v>
      </c>
      <c r="AK116">
        <v>16</v>
      </c>
      <c r="AL116">
        <v>9</v>
      </c>
    </row>
    <row r="117" spans="1:38" x14ac:dyDescent="0.35">
      <c r="A117" t="s">
        <v>822</v>
      </c>
      <c r="B117">
        <v>323475.79129999969</v>
      </c>
      <c r="C117">
        <v>6401219.8768000007</v>
      </c>
      <c r="D117">
        <v>9533070</v>
      </c>
      <c r="E117" t="s">
        <v>823</v>
      </c>
      <c r="F117" t="s">
        <v>824</v>
      </c>
      <c r="G117">
        <v>115047</v>
      </c>
      <c r="H117">
        <v>2</v>
      </c>
      <c r="I117" t="s">
        <v>825</v>
      </c>
      <c r="J117" t="s">
        <v>826</v>
      </c>
      <c r="K117">
        <v>132214</v>
      </c>
      <c r="L117">
        <v>2</v>
      </c>
      <c r="M117">
        <v>17167</v>
      </c>
      <c r="N117" t="s">
        <v>827</v>
      </c>
      <c r="O117" t="s">
        <v>828</v>
      </c>
      <c r="P117">
        <v>145859</v>
      </c>
      <c r="Q117">
        <v>2</v>
      </c>
      <c r="R117">
        <v>30812</v>
      </c>
      <c r="S117">
        <v>0.55700000000000005</v>
      </c>
      <c r="T117">
        <v>0.35199999999999998</v>
      </c>
      <c r="U117">
        <v>26</v>
      </c>
      <c r="V117">
        <v>1</v>
      </c>
      <c r="W117">
        <v>75</v>
      </c>
      <c r="X117">
        <v>49</v>
      </c>
      <c r="Y117">
        <v>0</v>
      </c>
      <c r="Z117">
        <v>31.9575</v>
      </c>
      <c r="AA117">
        <v>36.726111111111123</v>
      </c>
      <c r="AB117" t="s">
        <v>47</v>
      </c>
      <c r="AC117">
        <v>31</v>
      </c>
      <c r="AD117">
        <v>28647</v>
      </c>
      <c r="AE117">
        <v>45814</v>
      </c>
      <c r="AF117">
        <v>75</v>
      </c>
      <c r="AG117">
        <v>1</v>
      </c>
      <c r="AH117">
        <v>0.35199999999999998</v>
      </c>
      <c r="AI117">
        <v>1</v>
      </c>
      <c r="AJ117">
        <v>6</v>
      </c>
      <c r="AK117">
        <v>15</v>
      </c>
      <c r="AL117">
        <v>9</v>
      </c>
    </row>
    <row r="118" spans="1:38" x14ac:dyDescent="0.35">
      <c r="A118" t="s">
        <v>829</v>
      </c>
      <c r="B118">
        <v>323475.79129999969</v>
      </c>
      <c r="C118">
        <v>6401219.8768000007</v>
      </c>
      <c r="D118">
        <v>4701413</v>
      </c>
      <c r="E118" t="s">
        <v>830</v>
      </c>
      <c r="F118" t="s">
        <v>831</v>
      </c>
      <c r="G118">
        <v>121005</v>
      </c>
      <c r="H118">
        <v>2</v>
      </c>
      <c r="I118" t="s">
        <v>832</v>
      </c>
      <c r="J118" t="s">
        <v>833</v>
      </c>
      <c r="K118">
        <v>138179</v>
      </c>
      <c r="L118">
        <v>2</v>
      </c>
      <c r="M118">
        <v>17174</v>
      </c>
      <c r="N118" t="s">
        <v>834</v>
      </c>
      <c r="O118" t="s">
        <v>835</v>
      </c>
      <c r="P118">
        <v>146264</v>
      </c>
      <c r="Q118">
        <v>2</v>
      </c>
      <c r="R118">
        <v>25259</v>
      </c>
      <c r="S118">
        <v>0.68</v>
      </c>
      <c r="T118">
        <v>0.11</v>
      </c>
      <c r="U118">
        <v>6</v>
      </c>
      <c r="V118">
        <v>1</v>
      </c>
      <c r="W118">
        <v>52</v>
      </c>
      <c r="X118">
        <v>46</v>
      </c>
      <c r="Y118">
        <v>0</v>
      </c>
      <c r="Z118">
        <v>33.612499999999997</v>
      </c>
      <c r="AA118">
        <v>38.383055555555558</v>
      </c>
      <c r="AB118" t="s">
        <v>47</v>
      </c>
      <c r="AC118">
        <v>33</v>
      </c>
      <c r="AD118">
        <v>34605</v>
      </c>
      <c r="AE118">
        <v>51779</v>
      </c>
      <c r="AF118">
        <v>52</v>
      </c>
      <c r="AG118">
        <v>1</v>
      </c>
      <c r="AH118">
        <v>0.11</v>
      </c>
      <c r="AI118">
        <v>1</v>
      </c>
      <c r="AJ118">
        <v>8</v>
      </c>
      <c r="AK118">
        <v>16</v>
      </c>
      <c r="AL118">
        <v>8</v>
      </c>
    </row>
    <row r="119" spans="1:38" x14ac:dyDescent="0.35">
      <c r="A119" t="s">
        <v>836</v>
      </c>
      <c r="B119">
        <v>323475.79129999969</v>
      </c>
      <c r="C119">
        <v>6401219.8768000007</v>
      </c>
      <c r="D119">
        <v>9520182</v>
      </c>
      <c r="E119" t="s">
        <v>837</v>
      </c>
      <c r="F119" t="s">
        <v>838</v>
      </c>
      <c r="G119">
        <v>115004</v>
      </c>
      <c r="H119">
        <v>2</v>
      </c>
      <c r="I119" t="s">
        <v>839</v>
      </c>
      <c r="J119" t="s">
        <v>840</v>
      </c>
      <c r="K119">
        <v>132499</v>
      </c>
      <c r="L119">
        <v>2</v>
      </c>
      <c r="M119">
        <v>17495</v>
      </c>
      <c r="N119" t="s">
        <v>841</v>
      </c>
      <c r="O119" t="s">
        <v>842</v>
      </c>
      <c r="P119">
        <v>153123</v>
      </c>
      <c r="Q119">
        <v>2</v>
      </c>
      <c r="R119">
        <v>38119</v>
      </c>
      <c r="S119">
        <v>0.45900000000000002</v>
      </c>
      <c r="T119">
        <v>0.33900000000000002</v>
      </c>
      <c r="U119">
        <v>25</v>
      </c>
      <c r="V119">
        <v>1</v>
      </c>
      <c r="W119">
        <v>75</v>
      </c>
      <c r="X119">
        <v>50</v>
      </c>
      <c r="Y119">
        <v>0</v>
      </c>
      <c r="Z119">
        <v>31.945555555555561</v>
      </c>
      <c r="AA119">
        <v>36.805277777777768</v>
      </c>
      <c r="AB119" t="s">
        <v>47</v>
      </c>
      <c r="AC119">
        <v>31</v>
      </c>
      <c r="AD119">
        <v>28604</v>
      </c>
      <c r="AE119">
        <v>46099</v>
      </c>
      <c r="AF119">
        <v>75</v>
      </c>
      <c r="AG119">
        <v>1</v>
      </c>
      <c r="AH119">
        <v>0.33900000000000002</v>
      </c>
      <c r="AI119">
        <v>1</v>
      </c>
      <c r="AJ119">
        <v>6</v>
      </c>
      <c r="AK119">
        <v>15</v>
      </c>
      <c r="AL119">
        <v>9</v>
      </c>
    </row>
    <row r="120" spans="1:38" x14ac:dyDescent="0.35">
      <c r="A120" t="s">
        <v>843</v>
      </c>
      <c r="B120">
        <v>323475.79129999969</v>
      </c>
      <c r="C120">
        <v>6401219.8768000007</v>
      </c>
      <c r="D120">
        <v>7306575</v>
      </c>
      <c r="E120" t="s">
        <v>844</v>
      </c>
      <c r="F120" t="s">
        <v>845</v>
      </c>
      <c r="G120">
        <v>128062</v>
      </c>
      <c r="H120">
        <v>2</v>
      </c>
      <c r="I120" t="s">
        <v>846</v>
      </c>
      <c r="J120" t="s">
        <v>847</v>
      </c>
      <c r="K120">
        <v>145589</v>
      </c>
      <c r="L120">
        <v>2</v>
      </c>
      <c r="M120">
        <v>17527</v>
      </c>
      <c r="N120" t="s">
        <v>848</v>
      </c>
      <c r="O120" t="s">
        <v>849</v>
      </c>
      <c r="P120">
        <v>150767</v>
      </c>
      <c r="Q120">
        <v>2</v>
      </c>
      <c r="R120">
        <v>22705</v>
      </c>
      <c r="S120">
        <v>0.77200000000000002</v>
      </c>
      <c r="T120">
        <v>0.33700000000000002</v>
      </c>
      <c r="U120">
        <v>25</v>
      </c>
      <c r="V120">
        <v>1</v>
      </c>
      <c r="W120">
        <v>75</v>
      </c>
      <c r="X120">
        <v>50</v>
      </c>
      <c r="Y120">
        <v>0</v>
      </c>
      <c r="Z120">
        <v>35.57277777777778</v>
      </c>
      <c r="AA120">
        <v>40.441388888888888</v>
      </c>
      <c r="AB120" t="s">
        <v>47</v>
      </c>
      <c r="AC120">
        <v>35</v>
      </c>
      <c r="AD120">
        <v>41662</v>
      </c>
      <c r="AE120">
        <v>59189</v>
      </c>
      <c r="AF120">
        <v>75</v>
      </c>
      <c r="AG120">
        <v>1</v>
      </c>
      <c r="AH120">
        <v>0.33700000000000002</v>
      </c>
      <c r="AI120">
        <v>1</v>
      </c>
      <c r="AJ120">
        <v>10</v>
      </c>
      <c r="AK120">
        <v>18</v>
      </c>
      <c r="AL120">
        <v>8</v>
      </c>
    </row>
    <row r="121" spans="1:38" x14ac:dyDescent="0.35">
      <c r="A121" t="s">
        <v>850</v>
      </c>
      <c r="B121">
        <v>323475.79129999969</v>
      </c>
      <c r="C121">
        <v>6401219.8768000007</v>
      </c>
      <c r="D121">
        <v>1933169</v>
      </c>
      <c r="E121" t="s">
        <v>851</v>
      </c>
      <c r="F121" t="s">
        <v>852</v>
      </c>
      <c r="G121">
        <v>116782</v>
      </c>
      <c r="H121">
        <v>2</v>
      </c>
      <c r="I121" t="s">
        <v>853</v>
      </c>
      <c r="J121" t="s">
        <v>854</v>
      </c>
      <c r="K121">
        <v>134339</v>
      </c>
      <c r="L121">
        <v>2</v>
      </c>
      <c r="M121">
        <v>17557</v>
      </c>
      <c r="N121" t="s">
        <v>855</v>
      </c>
      <c r="O121" t="s">
        <v>856</v>
      </c>
      <c r="P121">
        <v>143031</v>
      </c>
      <c r="Q121">
        <v>2</v>
      </c>
      <c r="R121">
        <v>26249</v>
      </c>
      <c r="S121">
        <v>0.66900000000000004</v>
      </c>
      <c r="T121">
        <v>0.20200000000000001</v>
      </c>
      <c r="U121">
        <v>12</v>
      </c>
      <c r="V121">
        <v>1</v>
      </c>
      <c r="W121">
        <v>60</v>
      </c>
      <c r="X121">
        <v>48</v>
      </c>
      <c r="Y121">
        <v>0</v>
      </c>
      <c r="Z121">
        <v>32.43944444444444</v>
      </c>
      <c r="AA121">
        <v>37.316388888888888</v>
      </c>
      <c r="AB121" t="s">
        <v>47</v>
      </c>
      <c r="AC121">
        <v>32</v>
      </c>
      <c r="AD121">
        <v>30382</v>
      </c>
      <c r="AE121">
        <v>47939</v>
      </c>
      <c r="AF121">
        <v>60</v>
      </c>
      <c r="AG121">
        <v>1</v>
      </c>
      <c r="AH121">
        <v>0.20200000000000001</v>
      </c>
      <c r="AI121">
        <v>1</v>
      </c>
      <c r="AJ121">
        <v>6</v>
      </c>
      <c r="AK121">
        <v>15</v>
      </c>
      <c r="AL121">
        <v>9</v>
      </c>
    </row>
    <row r="122" spans="1:38" x14ac:dyDescent="0.35">
      <c r="A122" t="s">
        <v>857</v>
      </c>
      <c r="B122">
        <v>323475.79129999969</v>
      </c>
      <c r="C122">
        <v>6401219.8768000007</v>
      </c>
      <c r="D122">
        <v>2125063</v>
      </c>
      <c r="E122" t="s">
        <v>858</v>
      </c>
      <c r="F122" t="s">
        <v>859</v>
      </c>
      <c r="G122">
        <v>125717</v>
      </c>
      <c r="H122">
        <v>2</v>
      </c>
      <c r="I122" t="s">
        <v>860</v>
      </c>
      <c r="J122" t="s">
        <v>861</v>
      </c>
      <c r="K122">
        <v>143394</v>
      </c>
      <c r="L122">
        <v>2</v>
      </c>
      <c r="M122">
        <v>17677</v>
      </c>
      <c r="N122" t="s">
        <v>862</v>
      </c>
      <c r="O122" t="s">
        <v>863</v>
      </c>
      <c r="P122">
        <v>149995</v>
      </c>
      <c r="Q122">
        <v>2</v>
      </c>
      <c r="R122">
        <v>24278</v>
      </c>
      <c r="S122">
        <v>0.72799999999999998</v>
      </c>
      <c r="T122">
        <v>0.33100000000000002</v>
      </c>
      <c r="U122">
        <v>25</v>
      </c>
      <c r="V122">
        <v>1</v>
      </c>
      <c r="W122">
        <v>75</v>
      </c>
      <c r="X122">
        <v>50</v>
      </c>
      <c r="Y122">
        <v>0</v>
      </c>
      <c r="Z122">
        <v>34.921388888888877</v>
      </c>
      <c r="AA122">
        <v>39.831666666666671</v>
      </c>
      <c r="AB122" t="s">
        <v>47</v>
      </c>
      <c r="AC122">
        <v>34</v>
      </c>
      <c r="AD122">
        <v>39317</v>
      </c>
      <c r="AE122">
        <v>56994</v>
      </c>
      <c r="AF122">
        <v>75</v>
      </c>
      <c r="AG122">
        <v>1</v>
      </c>
      <c r="AH122">
        <v>0.33100000000000002</v>
      </c>
      <c r="AI122">
        <v>1</v>
      </c>
      <c r="AJ122">
        <v>9</v>
      </c>
      <c r="AK122">
        <v>18</v>
      </c>
      <c r="AL122">
        <v>9</v>
      </c>
    </row>
    <row r="123" spans="1:38" x14ac:dyDescent="0.35">
      <c r="A123" t="s">
        <v>864</v>
      </c>
      <c r="B123">
        <v>323475.79129999969</v>
      </c>
      <c r="C123">
        <v>6401219.8768000007</v>
      </c>
      <c r="D123">
        <v>9459373</v>
      </c>
      <c r="E123" t="s">
        <v>865</v>
      </c>
      <c r="F123" t="s">
        <v>866</v>
      </c>
      <c r="G123">
        <v>131128</v>
      </c>
      <c r="H123">
        <v>2</v>
      </c>
      <c r="I123" t="s">
        <v>867</v>
      </c>
      <c r="J123" t="s">
        <v>868</v>
      </c>
      <c r="K123">
        <v>148891</v>
      </c>
      <c r="L123">
        <v>2</v>
      </c>
      <c r="M123">
        <v>17763</v>
      </c>
      <c r="N123" t="s">
        <v>867</v>
      </c>
      <c r="O123" t="s">
        <v>868</v>
      </c>
      <c r="P123">
        <v>148891</v>
      </c>
      <c r="Q123">
        <v>2</v>
      </c>
      <c r="R123">
        <v>17763</v>
      </c>
      <c r="S123">
        <v>1</v>
      </c>
      <c r="T123">
        <v>0.15</v>
      </c>
      <c r="U123">
        <v>9</v>
      </c>
      <c r="V123">
        <v>0.996</v>
      </c>
      <c r="W123">
        <v>60</v>
      </c>
      <c r="X123">
        <v>51</v>
      </c>
      <c r="Y123">
        <v>0</v>
      </c>
      <c r="Z123">
        <v>36.42444444444444</v>
      </c>
      <c r="AA123">
        <v>41.358611111111109</v>
      </c>
      <c r="AB123" t="s">
        <v>47</v>
      </c>
      <c r="AC123">
        <v>36</v>
      </c>
      <c r="AD123">
        <v>44728</v>
      </c>
      <c r="AE123">
        <v>62491</v>
      </c>
      <c r="AF123">
        <v>60.24096385542169</v>
      </c>
      <c r="AG123">
        <v>0.996</v>
      </c>
      <c r="AH123">
        <v>0.15</v>
      </c>
      <c r="AI123">
        <v>1</v>
      </c>
      <c r="AJ123">
        <v>10</v>
      </c>
      <c r="AK123">
        <v>19</v>
      </c>
      <c r="AL123">
        <v>9</v>
      </c>
    </row>
    <row r="124" spans="1:38" x14ac:dyDescent="0.35">
      <c r="A124" t="s">
        <v>869</v>
      </c>
      <c r="B124">
        <v>323475.79129999969</v>
      </c>
      <c r="C124">
        <v>6401219.8768000007</v>
      </c>
      <c r="D124">
        <v>7316455</v>
      </c>
      <c r="E124" t="s">
        <v>870</v>
      </c>
      <c r="F124" t="s">
        <v>871</v>
      </c>
      <c r="G124">
        <v>128873</v>
      </c>
      <c r="H124">
        <v>2</v>
      </c>
      <c r="I124" t="s">
        <v>872</v>
      </c>
      <c r="J124" t="s">
        <v>873</v>
      </c>
      <c r="K124">
        <v>147049</v>
      </c>
      <c r="L124">
        <v>2</v>
      </c>
      <c r="M124">
        <v>18176</v>
      </c>
      <c r="N124" t="s">
        <v>874</v>
      </c>
      <c r="O124" t="s">
        <v>875</v>
      </c>
      <c r="P124">
        <v>150432</v>
      </c>
      <c r="Q124">
        <v>2</v>
      </c>
      <c r="R124">
        <v>21559</v>
      </c>
      <c r="S124">
        <v>0.84299999999999997</v>
      </c>
      <c r="T124">
        <v>0.311</v>
      </c>
      <c r="U124">
        <v>23</v>
      </c>
      <c r="V124">
        <v>1</v>
      </c>
      <c r="W124">
        <v>75</v>
      </c>
      <c r="X124">
        <v>52</v>
      </c>
      <c r="Y124">
        <v>0</v>
      </c>
      <c r="Z124">
        <v>35.798055555555557</v>
      </c>
      <c r="AA124">
        <v>40.846944444444453</v>
      </c>
      <c r="AB124" t="s">
        <v>47</v>
      </c>
      <c r="AC124">
        <v>35</v>
      </c>
      <c r="AD124">
        <v>42473</v>
      </c>
      <c r="AE124">
        <v>60649</v>
      </c>
      <c r="AF124">
        <v>75</v>
      </c>
      <c r="AG124">
        <v>1</v>
      </c>
      <c r="AH124">
        <v>0.311</v>
      </c>
      <c r="AI124">
        <v>1</v>
      </c>
      <c r="AJ124">
        <v>10</v>
      </c>
      <c r="AK124">
        <v>19</v>
      </c>
      <c r="AL124">
        <v>9</v>
      </c>
    </row>
    <row r="125" spans="1:38" x14ac:dyDescent="0.35">
      <c r="A125" t="s">
        <v>876</v>
      </c>
      <c r="B125">
        <v>323475.79129999969</v>
      </c>
      <c r="C125">
        <v>6401219.8768000007</v>
      </c>
      <c r="D125">
        <v>1866215</v>
      </c>
      <c r="E125" t="s">
        <v>877</v>
      </c>
      <c r="F125" t="s">
        <v>878</v>
      </c>
      <c r="G125">
        <v>124383</v>
      </c>
      <c r="H125">
        <v>2</v>
      </c>
      <c r="I125" t="s">
        <v>879</v>
      </c>
      <c r="J125" t="s">
        <v>880</v>
      </c>
      <c r="K125">
        <v>142679</v>
      </c>
      <c r="L125">
        <v>2</v>
      </c>
      <c r="M125">
        <v>18296</v>
      </c>
      <c r="N125" t="s">
        <v>881</v>
      </c>
      <c r="O125" t="s">
        <v>882</v>
      </c>
      <c r="P125">
        <v>147335</v>
      </c>
      <c r="Q125">
        <v>2</v>
      </c>
      <c r="R125">
        <v>22952</v>
      </c>
      <c r="S125">
        <v>0.79700000000000004</v>
      </c>
      <c r="T125">
        <v>0.30599999999999999</v>
      </c>
      <c r="U125">
        <v>23</v>
      </c>
      <c r="V125">
        <v>1</v>
      </c>
      <c r="W125">
        <v>75</v>
      </c>
      <c r="X125">
        <v>52</v>
      </c>
      <c r="Y125">
        <v>0</v>
      </c>
      <c r="Z125">
        <v>34.55083333333333</v>
      </c>
      <c r="AA125">
        <v>39.633055555555558</v>
      </c>
      <c r="AB125" t="s">
        <v>47</v>
      </c>
      <c r="AC125">
        <v>34</v>
      </c>
      <c r="AD125">
        <v>37983</v>
      </c>
      <c r="AE125">
        <v>56279</v>
      </c>
      <c r="AF125">
        <v>75</v>
      </c>
      <c r="AG125">
        <v>1</v>
      </c>
      <c r="AH125">
        <v>0.30599999999999999</v>
      </c>
      <c r="AI125">
        <v>1</v>
      </c>
      <c r="AJ125">
        <v>9</v>
      </c>
      <c r="AK125">
        <v>18</v>
      </c>
      <c r="AL125">
        <v>9</v>
      </c>
    </row>
    <row r="126" spans="1:38" x14ac:dyDescent="0.35">
      <c r="A126" t="s">
        <v>883</v>
      </c>
      <c r="B126">
        <v>323475.79129999969</v>
      </c>
      <c r="C126">
        <v>6401219.8768000007</v>
      </c>
      <c r="D126">
        <v>2323636</v>
      </c>
      <c r="E126" t="s">
        <v>884</v>
      </c>
      <c r="F126" t="s">
        <v>885</v>
      </c>
      <c r="G126">
        <v>111616</v>
      </c>
      <c r="H126">
        <v>2</v>
      </c>
      <c r="I126" t="s">
        <v>886</v>
      </c>
      <c r="J126" t="s">
        <v>887</v>
      </c>
      <c r="K126">
        <v>130219</v>
      </c>
      <c r="L126">
        <v>2</v>
      </c>
      <c r="M126">
        <v>18603</v>
      </c>
      <c r="N126" t="s">
        <v>888</v>
      </c>
      <c r="O126" t="s">
        <v>889</v>
      </c>
      <c r="P126">
        <v>141050</v>
      </c>
      <c r="Q126">
        <v>2</v>
      </c>
      <c r="R126">
        <v>29434</v>
      </c>
      <c r="S126">
        <v>0.63200000000000001</v>
      </c>
      <c r="T126">
        <v>0.14899999999999999</v>
      </c>
      <c r="U126">
        <v>9</v>
      </c>
      <c r="V126">
        <v>1</v>
      </c>
      <c r="W126">
        <v>60</v>
      </c>
      <c r="X126">
        <v>51</v>
      </c>
      <c r="Y126">
        <v>0</v>
      </c>
      <c r="Z126">
        <v>31.004444444444449</v>
      </c>
      <c r="AA126">
        <v>36.171944444444442</v>
      </c>
      <c r="AB126" t="s">
        <v>47</v>
      </c>
      <c r="AC126">
        <v>31</v>
      </c>
      <c r="AD126">
        <v>25216</v>
      </c>
      <c r="AE126">
        <v>43819</v>
      </c>
      <c r="AF126">
        <v>60</v>
      </c>
      <c r="AG126">
        <v>1</v>
      </c>
      <c r="AH126">
        <v>0.14899999999999999</v>
      </c>
      <c r="AI126">
        <v>1</v>
      </c>
      <c r="AJ126">
        <v>5</v>
      </c>
      <c r="AK126">
        <v>14</v>
      </c>
      <c r="AL126">
        <v>9</v>
      </c>
    </row>
    <row r="127" spans="1:38" x14ac:dyDescent="0.35">
      <c r="A127" t="s">
        <v>890</v>
      </c>
      <c r="B127">
        <v>323475.79129999969</v>
      </c>
      <c r="C127">
        <v>6401219.8768000007</v>
      </c>
      <c r="D127">
        <v>9411134</v>
      </c>
      <c r="E127" t="s">
        <v>891</v>
      </c>
      <c r="F127" t="s">
        <v>892</v>
      </c>
      <c r="G127">
        <v>118310</v>
      </c>
      <c r="H127">
        <v>2</v>
      </c>
      <c r="I127" t="s">
        <v>893</v>
      </c>
      <c r="J127" t="s">
        <v>894</v>
      </c>
      <c r="K127">
        <v>137539</v>
      </c>
      <c r="L127">
        <v>2</v>
      </c>
      <c r="M127">
        <v>19229</v>
      </c>
      <c r="N127" t="s">
        <v>895</v>
      </c>
      <c r="O127" t="s">
        <v>896</v>
      </c>
      <c r="P127">
        <v>143467</v>
      </c>
      <c r="Q127">
        <v>2</v>
      </c>
      <c r="R127">
        <v>25157</v>
      </c>
      <c r="S127">
        <v>0.76400000000000001</v>
      </c>
      <c r="T127">
        <v>0.26800000000000002</v>
      </c>
      <c r="U127">
        <v>20</v>
      </c>
      <c r="V127">
        <v>1</v>
      </c>
      <c r="W127">
        <v>75</v>
      </c>
      <c r="X127">
        <v>55</v>
      </c>
      <c r="Y127">
        <v>0</v>
      </c>
      <c r="Z127">
        <v>32.863888888888887</v>
      </c>
      <c r="AA127">
        <v>38.205277777777781</v>
      </c>
      <c r="AB127" t="s">
        <v>47</v>
      </c>
      <c r="AC127">
        <v>32</v>
      </c>
      <c r="AD127">
        <v>31910</v>
      </c>
      <c r="AE127">
        <v>51139</v>
      </c>
      <c r="AF127">
        <v>75</v>
      </c>
      <c r="AG127">
        <v>1</v>
      </c>
      <c r="AH127">
        <v>0.26800000000000002</v>
      </c>
      <c r="AI127">
        <v>1</v>
      </c>
      <c r="AJ127">
        <v>7</v>
      </c>
      <c r="AK127">
        <v>16</v>
      </c>
      <c r="AL127">
        <v>9</v>
      </c>
    </row>
    <row r="128" spans="1:38" x14ac:dyDescent="0.35">
      <c r="A128" t="s">
        <v>897</v>
      </c>
      <c r="B128">
        <v>323475.79129999969</v>
      </c>
      <c r="C128">
        <v>6401219.8768000007</v>
      </c>
      <c r="D128">
        <v>3262654</v>
      </c>
      <c r="E128" t="s">
        <v>898</v>
      </c>
      <c r="F128" t="s">
        <v>899</v>
      </c>
      <c r="G128">
        <v>126723</v>
      </c>
      <c r="H128">
        <v>2</v>
      </c>
      <c r="I128" t="s">
        <v>900</v>
      </c>
      <c r="J128" t="s">
        <v>901</v>
      </c>
      <c r="K128">
        <v>146419</v>
      </c>
      <c r="L128">
        <v>2</v>
      </c>
      <c r="M128">
        <v>19696</v>
      </c>
      <c r="N128" t="s">
        <v>902</v>
      </c>
      <c r="O128" t="s">
        <v>903</v>
      </c>
      <c r="P128">
        <v>147706</v>
      </c>
      <c r="Q128">
        <v>2</v>
      </c>
      <c r="R128">
        <v>20983</v>
      </c>
      <c r="S128">
        <v>0.93899999999999995</v>
      </c>
      <c r="T128">
        <v>9.2999999999999999E-2</v>
      </c>
      <c r="U128">
        <v>6</v>
      </c>
      <c r="V128">
        <v>1</v>
      </c>
      <c r="W128">
        <v>60</v>
      </c>
      <c r="X128">
        <v>54</v>
      </c>
      <c r="Y128">
        <v>0</v>
      </c>
      <c r="Z128">
        <v>35.200833333333343</v>
      </c>
      <c r="AA128">
        <v>40.671944444444442</v>
      </c>
      <c r="AB128" t="s">
        <v>47</v>
      </c>
      <c r="AC128">
        <v>35</v>
      </c>
      <c r="AD128">
        <v>40323</v>
      </c>
      <c r="AE128">
        <v>60019</v>
      </c>
      <c r="AF128">
        <v>60</v>
      </c>
      <c r="AG128">
        <v>1</v>
      </c>
      <c r="AH128">
        <v>9.2999999999999999E-2</v>
      </c>
      <c r="AI128">
        <v>1</v>
      </c>
      <c r="AJ128">
        <v>9</v>
      </c>
      <c r="AK128">
        <v>19</v>
      </c>
      <c r="AL128">
        <v>10</v>
      </c>
    </row>
    <row r="129" spans="1:38" x14ac:dyDescent="0.35">
      <c r="A129" t="s">
        <v>904</v>
      </c>
      <c r="B129">
        <v>323475.79129999969</v>
      </c>
      <c r="C129">
        <v>6401219.8768000007</v>
      </c>
      <c r="D129">
        <v>5907170</v>
      </c>
      <c r="E129" t="s">
        <v>905</v>
      </c>
      <c r="F129" t="s">
        <v>906</v>
      </c>
      <c r="G129">
        <v>110054</v>
      </c>
      <c r="H129">
        <v>2</v>
      </c>
      <c r="I129" t="s">
        <v>907</v>
      </c>
      <c r="J129" t="s">
        <v>908</v>
      </c>
      <c r="K129">
        <v>130299</v>
      </c>
      <c r="L129">
        <v>2</v>
      </c>
      <c r="M129">
        <v>20245</v>
      </c>
      <c r="N129" t="s">
        <v>909</v>
      </c>
      <c r="O129" t="s">
        <v>910</v>
      </c>
      <c r="P129">
        <v>134398</v>
      </c>
      <c r="Q129">
        <v>2</v>
      </c>
      <c r="R129">
        <v>24344</v>
      </c>
      <c r="S129">
        <v>0.83199999999999996</v>
      </c>
      <c r="T129">
        <v>6.5000000000000002E-2</v>
      </c>
      <c r="U129">
        <v>4</v>
      </c>
      <c r="V129">
        <v>1</v>
      </c>
      <c r="W129">
        <v>60</v>
      </c>
      <c r="X129">
        <v>56</v>
      </c>
      <c r="Y129">
        <v>0</v>
      </c>
      <c r="Z129">
        <v>30.570555555555561</v>
      </c>
      <c r="AA129">
        <v>36.194166666666661</v>
      </c>
      <c r="AB129" t="s">
        <v>47</v>
      </c>
      <c r="AC129">
        <v>30</v>
      </c>
      <c r="AD129">
        <v>23654</v>
      </c>
      <c r="AE129">
        <v>43899</v>
      </c>
      <c r="AF129">
        <v>60</v>
      </c>
      <c r="AG129">
        <v>1</v>
      </c>
      <c r="AH129">
        <v>6.5000000000000002E-2</v>
      </c>
      <c r="AI129">
        <v>1</v>
      </c>
      <c r="AJ129">
        <v>5</v>
      </c>
      <c r="AK129">
        <v>14</v>
      </c>
      <c r="AL129">
        <v>9</v>
      </c>
    </row>
    <row r="130" spans="1:38" x14ac:dyDescent="0.35">
      <c r="A130" t="s">
        <v>911</v>
      </c>
      <c r="B130">
        <v>323475.79129999969</v>
      </c>
      <c r="C130">
        <v>6401219.8768000007</v>
      </c>
      <c r="D130">
        <v>5413097</v>
      </c>
      <c r="E130" t="s">
        <v>912</v>
      </c>
      <c r="F130" t="s">
        <v>913</v>
      </c>
      <c r="G130">
        <v>118131</v>
      </c>
      <c r="H130">
        <v>2</v>
      </c>
      <c r="I130" t="s">
        <v>914</v>
      </c>
      <c r="J130" t="s">
        <v>915</v>
      </c>
      <c r="K130">
        <v>138854</v>
      </c>
      <c r="L130">
        <v>2</v>
      </c>
      <c r="M130">
        <v>20723</v>
      </c>
      <c r="N130" t="s">
        <v>916</v>
      </c>
      <c r="O130" t="s">
        <v>917</v>
      </c>
      <c r="P130">
        <v>144934</v>
      </c>
      <c r="Q130">
        <v>2</v>
      </c>
      <c r="R130">
        <v>26803</v>
      </c>
      <c r="S130">
        <v>0.77300000000000002</v>
      </c>
      <c r="T130">
        <v>0.20699999999999999</v>
      </c>
      <c r="U130">
        <v>16</v>
      </c>
      <c r="V130">
        <v>1</v>
      </c>
      <c r="W130">
        <v>75</v>
      </c>
      <c r="X130">
        <v>59</v>
      </c>
      <c r="Y130">
        <v>0</v>
      </c>
      <c r="Z130">
        <v>32.814166666666672</v>
      </c>
      <c r="AA130">
        <v>38.570555555555558</v>
      </c>
      <c r="AB130" t="s">
        <v>47</v>
      </c>
      <c r="AC130">
        <v>32</v>
      </c>
      <c r="AD130">
        <v>31731</v>
      </c>
      <c r="AE130">
        <v>52454</v>
      </c>
      <c r="AF130">
        <v>75</v>
      </c>
      <c r="AG130">
        <v>1</v>
      </c>
      <c r="AH130">
        <v>0.20699999999999999</v>
      </c>
      <c r="AI130">
        <v>1</v>
      </c>
      <c r="AJ130">
        <v>7</v>
      </c>
      <c r="AK130">
        <v>17</v>
      </c>
      <c r="AL130">
        <v>10</v>
      </c>
    </row>
    <row r="131" spans="1:38" x14ac:dyDescent="0.35">
      <c r="A131" t="s">
        <v>918</v>
      </c>
      <c r="B131">
        <v>330896.81549999962</v>
      </c>
      <c r="C131">
        <v>6397015.6453000009</v>
      </c>
      <c r="D131">
        <v>2015689</v>
      </c>
      <c r="E131" t="s">
        <v>919</v>
      </c>
      <c r="F131" t="s">
        <v>920</v>
      </c>
      <c r="G131">
        <v>113427</v>
      </c>
      <c r="H131">
        <v>2</v>
      </c>
      <c r="I131" t="s">
        <v>921</v>
      </c>
      <c r="J131" t="s">
        <v>922</v>
      </c>
      <c r="K131">
        <v>123054</v>
      </c>
      <c r="L131">
        <v>2</v>
      </c>
      <c r="M131">
        <v>9627</v>
      </c>
      <c r="N131" t="s">
        <v>923</v>
      </c>
      <c r="O131" t="s">
        <v>924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47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1</v>
      </c>
      <c r="AJ131">
        <v>6</v>
      </c>
      <c r="AK131">
        <v>12</v>
      </c>
      <c r="AL131">
        <v>6</v>
      </c>
    </row>
    <row r="132" spans="1:38" x14ac:dyDescent="0.35">
      <c r="A132" t="s">
        <v>925</v>
      </c>
      <c r="B132">
        <v>314870.73089999979</v>
      </c>
      <c r="C132">
        <v>6395398.4046999998</v>
      </c>
      <c r="D132">
        <v>9489532</v>
      </c>
      <c r="E132" t="s">
        <v>926</v>
      </c>
      <c r="F132" t="s">
        <v>927</v>
      </c>
      <c r="G132">
        <v>116198</v>
      </c>
      <c r="H132">
        <v>2</v>
      </c>
      <c r="I132" t="s">
        <v>928</v>
      </c>
      <c r="J132" t="s">
        <v>929</v>
      </c>
      <c r="K132">
        <v>125834</v>
      </c>
      <c r="L132">
        <v>2</v>
      </c>
      <c r="M132">
        <v>9636</v>
      </c>
      <c r="N132" t="s">
        <v>930</v>
      </c>
      <c r="O132" t="s">
        <v>931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47</v>
      </c>
      <c r="AC132">
        <v>32</v>
      </c>
      <c r="AD132">
        <v>29798</v>
      </c>
      <c r="AE132">
        <v>39434</v>
      </c>
      <c r="AF132">
        <v>34</v>
      </c>
      <c r="AG132">
        <v>1</v>
      </c>
      <c r="AH132">
        <v>0.29599999999999999</v>
      </c>
      <c r="AI132">
        <v>1</v>
      </c>
      <c r="AJ132">
        <v>6</v>
      </c>
      <c r="AK132">
        <v>13</v>
      </c>
      <c r="AL132">
        <v>7</v>
      </c>
    </row>
    <row r="133" spans="1:38" x14ac:dyDescent="0.35">
      <c r="A133" t="s">
        <v>932</v>
      </c>
      <c r="B133">
        <v>319283.38310000021</v>
      </c>
      <c r="C133">
        <v>6400725.5902999993</v>
      </c>
      <c r="D133">
        <v>7323963</v>
      </c>
      <c r="E133" t="s">
        <v>933</v>
      </c>
      <c r="F133" t="s">
        <v>934</v>
      </c>
      <c r="G133">
        <v>111159</v>
      </c>
      <c r="H133">
        <v>2</v>
      </c>
      <c r="I133" t="s">
        <v>935</v>
      </c>
      <c r="J133" t="s">
        <v>936</v>
      </c>
      <c r="K133">
        <v>120804</v>
      </c>
      <c r="L133">
        <v>2</v>
      </c>
      <c r="M133">
        <v>9645</v>
      </c>
      <c r="N133" t="s">
        <v>937</v>
      </c>
      <c r="O133" t="s">
        <v>938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47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1</v>
      </c>
      <c r="AJ133">
        <v>5</v>
      </c>
      <c r="AK133">
        <v>12</v>
      </c>
      <c r="AL133">
        <v>7</v>
      </c>
    </row>
    <row r="134" spans="1:38" x14ac:dyDescent="0.35">
      <c r="A134" t="s">
        <v>939</v>
      </c>
      <c r="B134">
        <v>322135.31819999957</v>
      </c>
      <c r="C134">
        <v>6393186.4153000005</v>
      </c>
      <c r="D134">
        <v>5889300</v>
      </c>
      <c r="E134" t="s">
        <v>940</v>
      </c>
      <c r="F134" t="s">
        <v>941</v>
      </c>
      <c r="G134">
        <v>114068</v>
      </c>
      <c r="H134">
        <v>2</v>
      </c>
      <c r="I134" t="s">
        <v>942</v>
      </c>
      <c r="J134" t="s">
        <v>943</v>
      </c>
      <c r="K134">
        <v>123714</v>
      </c>
      <c r="L134">
        <v>2</v>
      </c>
      <c r="M134">
        <v>9646</v>
      </c>
      <c r="N134" t="s">
        <v>944</v>
      </c>
      <c r="O134" t="s">
        <v>945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47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1</v>
      </c>
      <c r="AJ134">
        <v>6</v>
      </c>
      <c r="AK134">
        <v>12</v>
      </c>
      <c r="AL134">
        <v>6</v>
      </c>
    </row>
    <row r="135" spans="1:38" x14ac:dyDescent="0.35">
      <c r="A135" t="s">
        <v>946</v>
      </c>
      <c r="B135">
        <v>318770.84920000011</v>
      </c>
      <c r="C135">
        <v>6399769.3906999994</v>
      </c>
      <c r="D135">
        <v>7426404</v>
      </c>
      <c r="E135" t="s">
        <v>947</v>
      </c>
      <c r="F135" t="s">
        <v>948</v>
      </c>
      <c r="G135">
        <v>126710</v>
      </c>
      <c r="H135">
        <v>2</v>
      </c>
      <c r="I135" t="s">
        <v>949</v>
      </c>
      <c r="J135" t="s">
        <v>950</v>
      </c>
      <c r="K135">
        <v>136389</v>
      </c>
      <c r="L135">
        <v>2</v>
      </c>
      <c r="M135">
        <v>9679</v>
      </c>
      <c r="N135" t="s">
        <v>951</v>
      </c>
      <c r="O135" t="s">
        <v>952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47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1</v>
      </c>
      <c r="AJ135">
        <v>9</v>
      </c>
      <c r="AK135">
        <v>16</v>
      </c>
      <c r="AL135">
        <v>7</v>
      </c>
    </row>
    <row r="136" spans="1:38" x14ac:dyDescent="0.35">
      <c r="A136" t="s">
        <v>953</v>
      </c>
      <c r="B136">
        <v>318238.78749999963</v>
      </c>
      <c r="C136">
        <v>6399336.5391000006</v>
      </c>
      <c r="D136">
        <v>2003753</v>
      </c>
      <c r="E136" t="s">
        <v>954</v>
      </c>
      <c r="F136" t="s">
        <v>955</v>
      </c>
      <c r="G136">
        <v>113134</v>
      </c>
      <c r="H136">
        <v>2</v>
      </c>
      <c r="I136" t="s">
        <v>956</v>
      </c>
      <c r="J136" t="s">
        <v>957</v>
      </c>
      <c r="K136">
        <v>122814</v>
      </c>
      <c r="L136">
        <v>2</v>
      </c>
      <c r="M136">
        <v>9680</v>
      </c>
      <c r="N136" t="s">
        <v>958</v>
      </c>
      <c r="O136" t="s">
        <v>959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47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1</v>
      </c>
      <c r="AJ136">
        <v>5</v>
      </c>
      <c r="AK136">
        <v>12</v>
      </c>
      <c r="AL136">
        <v>7</v>
      </c>
    </row>
    <row r="137" spans="1:38" x14ac:dyDescent="0.35">
      <c r="A137" t="s">
        <v>960</v>
      </c>
      <c r="B137">
        <v>321386.95120000001</v>
      </c>
      <c r="C137">
        <v>6397052.6424000002</v>
      </c>
      <c r="D137">
        <v>1857355</v>
      </c>
      <c r="E137" t="s">
        <v>961</v>
      </c>
      <c r="F137" t="s">
        <v>962</v>
      </c>
      <c r="G137">
        <v>113989</v>
      </c>
      <c r="H137">
        <v>2</v>
      </c>
      <c r="I137" t="s">
        <v>963</v>
      </c>
      <c r="J137" t="s">
        <v>964</v>
      </c>
      <c r="K137">
        <v>123674</v>
      </c>
      <c r="L137">
        <v>2</v>
      </c>
      <c r="M137">
        <v>9685</v>
      </c>
      <c r="N137" t="s">
        <v>965</v>
      </c>
      <c r="O137" t="s">
        <v>966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47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1</v>
      </c>
      <c r="AJ137">
        <v>6</v>
      </c>
      <c r="AK137">
        <v>12</v>
      </c>
      <c r="AL137">
        <v>6</v>
      </c>
    </row>
    <row r="138" spans="1:38" x14ac:dyDescent="0.35">
      <c r="A138" t="s">
        <v>967</v>
      </c>
      <c r="B138">
        <v>329314.41629999969</v>
      </c>
      <c r="C138">
        <v>6401869.7485000007</v>
      </c>
      <c r="D138">
        <v>1837820</v>
      </c>
      <c r="E138" t="s">
        <v>968</v>
      </c>
      <c r="F138" t="s">
        <v>969</v>
      </c>
      <c r="G138">
        <v>121222</v>
      </c>
      <c r="H138">
        <v>2</v>
      </c>
      <c r="I138" t="s">
        <v>970</v>
      </c>
      <c r="J138" t="s">
        <v>971</v>
      </c>
      <c r="K138">
        <v>130909</v>
      </c>
      <c r="L138">
        <v>2</v>
      </c>
      <c r="M138">
        <v>9687</v>
      </c>
      <c r="N138" t="s">
        <v>972</v>
      </c>
      <c r="O138" t="s">
        <v>973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47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1</v>
      </c>
      <c r="AJ138">
        <v>8</v>
      </c>
      <c r="AK138">
        <v>14</v>
      </c>
      <c r="AL138">
        <v>6</v>
      </c>
    </row>
    <row r="139" spans="1:38" x14ac:dyDescent="0.35">
      <c r="A139" t="s">
        <v>974</v>
      </c>
      <c r="B139">
        <v>318072.1688000001</v>
      </c>
      <c r="C139">
        <v>6398328.3005999997</v>
      </c>
      <c r="D139">
        <v>7298531</v>
      </c>
      <c r="E139" t="s">
        <v>975</v>
      </c>
      <c r="F139" t="s">
        <v>976</v>
      </c>
      <c r="G139">
        <v>94521</v>
      </c>
      <c r="H139">
        <v>2</v>
      </c>
      <c r="I139" t="s">
        <v>977</v>
      </c>
      <c r="J139" t="s">
        <v>978</v>
      </c>
      <c r="K139">
        <v>104209</v>
      </c>
      <c r="L139">
        <v>2</v>
      </c>
      <c r="M139">
        <v>9688</v>
      </c>
      <c r="N139" t="s">
        <v>979</v>
      </c>
      <c r="O139" t="s">
        <v>980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90</v>
      </c>
      <c r="AC139">
        <v>26</v>
      </c>
      <c r="AD139">
        <v>8121</v>
      </c>
      <c r="AE139">
        <v>17809</v>
      </c>
      <c r="AF139">
        <v>60</v>
      </c>
      <c r="AG139">
        <v>1</v>
      </c>
      <c r="AH139">
        <v>0.27100000000000002</v>
      </c>
      <c r="AI139">
        <v>1</v>
      </c>
      <c r="AJ139">
        <v>1</v>
      </c>
      <c r="AK139">
        <v>7</v>
      </c>
      <c r="AL139">
        <v>7</v>
      </c>
    </row>
    <row r="140" spans="1:38" x14ac:dyDescent="0.35">
      <c r="A140" t="s">
        <v>981</v>
      </c>
      <c r="B140">
        <v>314951.25040000031</v>
      </c>
      <c r="C140">
        <v>6402263.318</v>
      </c>
      <c r="D140">
        <v>2318552</v>
      </c>
      <c r="E140" t="s">
        <v>982</v>
      </c>
      <c r="F140" t="s">
        <v>983</v>
      </c>
      <c r="G140">
        <v>117446</v>
      </c>
      <c r="H140">
        <v>2</v>
      </c>
      <c r="I140" t="s">
        <v>984</v>
      </c>
      <c r="J140" t="s">
        <v>985</v>
      </c>
      <c r="K140">
        <v>127134</v>
      </c>
      <c r="L140">
        <v>2</v>
      </c>
      <c r="M140">
        <v>9688</v>
      </c>
      <c r="N140" t="s">
        <v>986</v>
      </c>
      <c r="O140" t="s">
        <v>987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47</v>
      </c>
      <c r="AC140">
        <v>32</v>
      </c>
      <c r="AD140">
        <v>31046</v>
      </c>
      <c r="AE140">
        <v>40734</v>
      </c>
      <c r="AF140">
        <v>52</v>
      </c>
      <c r="AG140">
        <v>1</v>
      </c>
      <c r="AH140">
        <v>0.54900000000000004</v>
      </c>
      <c r="AI140">
        <v>1</v>
      </c>
      <c r="AJ140">
        <v>7</v>
      </c>
      <c r="AK140">
        <v>13</v>
      </c>
      <c r="AL140">
        <v>6</v>
      </c>
    </row>
    <row r="141" spans="1:38" x14ac:dyDescent="0.35">
      <c r="A141" t="s">
        <v>988</v>
      </c>
      <c r="B141">
        <v>319877.71800000028</v>
      </c>
      <c r="C141">
        <v>6398868.2806000002</v>
      </c>
      <c r="D141">
        <v>2330005</v>
      </c>
      <c r="E141" t="s">
        <v>989</v>
      </c>
      <c r="F141" t="s">
        <v>990</v>
      </c>
      <c r="G141">
        <v>142339</v>
      </c>
      <c r="H141">
        <v>2</v>
      </c>
      <c r="I141" t="s">
        <v>991</v>
      </c>
      <c r="J141" t="s">
        <v>992</v>
      </c>
      <c r="K141">
        <v>152069</v>
      </c>
      <c r="L141">
        <v>2</v>
      </c>
      <c r="M141">
        <v>9730</v>
      </c>
      <c r="N141" t="s">
        <v>991</v>
      </c>
      <c r="O141" t="s">
        <v>992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47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1</v>
      </c>
      <c r="AJ141">
        <v>14</v>
      </c>
      <c r="AK141">
        <v>20</v>
      </c>
      <c r="AL141">
        <v>6</v>
      </c>
    </row>
    <row r="142" spans="1:38" x14ac:dyDescent="0.35">
      <c r="A142" t="s">
        <v>993</v>
      </c>
      <c r="B142">
        <v>316520.84350000042</v>
      </c>
      <c r="C142">
        <v>6393373.2782000015</v>
      </c>
      <c r="D142">
        <v>4607358</v>
      </c>
      <c r="E142" t="s">
        <v>994</v>
      </c>
      <c r="F142" t="s">
        <v>995</v>
      </c>
      <c r="G142">
        <v>127743</v>
      </c>
      <c r="H142">
        <v>2</v>
      </c>
      <c r="I142" t="s">
        <v>996</v>
      </c>
      <c r="J142" t="s">
        <v>997</v>
      </c>
      <c r="K142">
        <v>137484</v>
      </c>
      <c r="L142">
        <v>2</v>
      </c>
      <c r="M142">
        <v>9741</v>
      </c>
      <c r="N142" t="s">
        <v>998</v>
      </c>
      <c r="O142" t="s">
        <v>999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47</v>
      </c>
      <c r="AC142">
        <v>35</v>
      </c>
      <c r="AD142">
        <v>41343</v>
      </c>
      <c r="AE142">
        <v>51084</v>
      </c>
      <c r="AF142">
        <v>52</v>
      </c>
      <c r="AG142">
        <v>1</v>
      </c>
      <c r="AH142">
        <v>0.54600000000000004</v>
      </c>
      <c r="AI142">
        <v>1</v>
      </c>
      <c r="AJ142">
        <v>9</v>
      </c>
      <c r="AK142">
        <v>16</v>
      </c>
      <c r="AL142">
        <v>7</v>
      </c>
    </row>
    <row r="143" spans="1:38" x14ac:dyDescent="0.35">
      <c r="A143" t="s">
        <v>1000</v>
      </c>
      <c r="B143">
        <v>317219.12040000042</v>
      </c>
      <c r="C143">
        <v>6394800.8210000005</v>
      </c>
      <c r="D143">
        <v>2071560</v>
      </c>
      <c r="E143" t="s">
        <v>1001</v>
      </c>
      <c r="F143" t="s">
        <v>1002</v>
      </c>
      <c r="G143">
        <v>134912</v>
      </c>
      <c r="H143">
        <v>2</v>
      </c>
      <c r="I143" t="s">
        <v>1003</v>
      </c>
      <c r="J143" t="s">
        <v>1004</v>
      </c>
      <c r="K143">
        <v>144663</v>
      </c>
      <c r="L143">
        <v>2</v>
      </c>
      <c r="M143">
        <v>9751</v>
      </c>
      <c r="N143" t="s">
        <v>1003</v>
      </c>
      <c r="O143" t="s">
        <v>1004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47</v>
      </c>
      <c r="AC143">
        <v>37</v>
      </c>
      <c r="AD143">
        <v>48512</v>
      </c>
      <c r="AE143">
        <v>58263</v>
      </c>
      <c r="AF143">
        <v>75.653370013755165</v>
      </c>
      <c r="AG143">
        <v>0.72699999999999998</v>
      </c>
      <c r="AH143">
        <v>0.33</v>
      </c>
      <c r="AI143">
        <v>1</v>
      </c>
      <c r="AJ143">
        <v>11</v>
      </c>
      <c r="AK143">
        <v>18</v>
      </c>
      <c r="AL143">
        <v>7</v>
      </c>
    </row>
    <row r="144" spans="1:38" x14ac:dyDescent="0.35">
      <c r="A144" t="s">
        <v>1005</v>
      </c>
      <c r="B144">
        <v>315041.73450000031</v>
      </c>
      <c r="C144">
        <v>6394738.3139999993</v>
      </c>
      <c r="D144">
        <v>4784659</v>
      </c>
      <c r="E144" t="s">
        <v>1006</v>
      </c>
      <c r="F144" t="s">
        <v>1007</v>
      </c>
      <c r="G144">
        <v>125517</v>
      </c>
      <c r="H144">
        <v>2</v>
      </c>
      <c r="I144" t="s">
        <v>1008</v>
      </c>
      <c r="J144" t="s">
        <v>1009</v>
      </c>
      <c r="K144">
        <v>135283</v>
      </c>
      <c r="L144">
        <v>2</v>
      </c>
      <c r="M144">
        <v>9766</v>
      </c>
      <c r="N144" t="s">
        <v>1008</v>
      </c>
      <c r="O144" t="s">
        <v>1009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47</v>
      </c>
      <c r="AC144">
        <v>34</v>
      </c>
      <c r="AD144">
        <v>39117</v>
      </c>
      <c r="AE144">
        <v>48883</v>
      </c>
      <c r="AF144">
        <v>59.907834101382491</v>
      </c>
      <c r="AG144">
        <v>0.86799999999999999</v>
      </c>
      <c r="AH144">
        <v>0.371</v>
      </c>
      <c r="AI144">
        <v>1</v>
      </c>
      <c r="AJ144">
        <v>9</v>
      </c>
      <c r="AK144">
        <v>16</v>
      </c>
      <c r="AL144">
        <v>7</v>
      </c>
    </row>
    <row r="145" spans="1:38" x14ac:dyDescent="0.35">
      <c r="A145" t="s">
        <v>1010</v>
      </c>
      <c r="B145">
        <v>327756.21710000001</v>
      </c>
      <c r="C145">
        <v>6403439.2682000007</v>
      </c>
      <c r="D145">
        <v>4690993</v>
      </c>
      <c r="E145" t="s">
        <v>1011</v>
      </c>
      <c r="F145" t="s">
        <v>1012</v>
      </c>
      <c r="G145">
        <v>118805</v>
      </c>
      <c r="H145">
        <v>2</v>
      </c>
      <c r="I145" t="s">
        <v>1013</v>
      </c>
      <c r="J145" t="s">
        <v>1014</v>
      </c>
      <c r="K145">
        <v>128574</v>
      </c>
      <c r="L145">
        <v>2</v>
      </c>
      <c r="M145">
        <v>9769</v>
      </c>
      <c r="N145" t="s">
        <v>1015</v>
      </c>
      <c r="O145" t="s">
        <v>1016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90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1</v>
      </c>
      <c r="AJ145">
        <v>7</v>
      </c>
      <c r="AK145">
        <v>14</v>
      </c>
      <c r="AL145">
        <v>7</v>
      </c>
    </row>
    <row r="146" spans="1:38" x14ac:dyDescent="0.35">
      <c r="A146" t="s">
        <v>1017</v>
      </c>
      <c r="B146">
        <v>312745.80260000011</v>
      </c>
      <c r="C146">
        <v>6402821.4054000014</v>
      </c>
      <c r="D146">
        <v>4611356</v>
      </c>
      <c r="E146" t="s">
        <v>1018</v>
      </c>
      <c r="F146" t="s">
        <v>1019</v>
      </c>
      <c r="G146">
        <v>114084</v>
      </c>
      <c r="H146">
        <v>2</v>
      </c>
      <c r="I146" t="s">
        <v>1020</v>
      </c>
      <c r="J146" t="s">
        <v>1021</v>
      </c>
      <c r="K146">
        <v>123854</v>
      </c>
      <c r="L146">
        <v>2</v>
      </c>
      <c r="M146">
        <v>9770</v>
      </c>
      <c r="N146" t="s">
        <v>1022</v>
      </c>
      <c r="O146" t="s">
        <v>1023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47</v>
      </c>
      <c r="AC146">
        <v>31</v>
      </c>
      <c r="AD146">
        <v>27684</v>
      </c>
      <c r="AE146">
        <v>37454</v>
      </c>
      <c r="AF146">
        <v>52</v>
      </c>
      <c r="AG146">
        <v>1</v>
      </c>
      <c r="AH146">
        <v>0.54500000000000004</v>
      </c>
      <c r="AI146">
        <v>1</v>
      </c>
      <c r="AJ146">
        <v>6</v>
      </c>
      <c r="AK146">
        <v>12</v>
      </c>
      <c r="AL146">
        <v>6</v>
      </c>
    </row>
    <row r="147" spans="1:38" x14ac:dyDescent="0.35">
      <c r="A147" t="s">
        <v>1024</v>
      </c>
      <c r="B147">
        <v>328729.43159999978</v>
      </c>
      <c r="C147">
        <v>6401953.7777999993</v>
      </c>
      <c r="D147">
        <v>2016252</v>
      </c>
      <c r="E147" t="s">
        <v>1025</v>
      </c>
      <c r="F147" t="s">
        <v>1026</v>
      </c>
      <c r="G147">
        <v>98778</v>
      </c>
      <c r="H147">
        <v>2</v>
      </c>
      <c r="I147" t="s">
        <v>1027</v>
      </c>
      <c r="J147" t="s">
        <v>1028</v>
      </c>
      <c r="K147">
        <v>108549</v>
      </c>
      <c r="L147">
        <v>2</v>
      </c>
      <c r="M147">
        <v>9771</v>
      </c>
      <c r="N147" t="s">
        <v>1029</v>
      </c>
      <c r="O147" t="s">
        <v>1030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90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1</v>
      </c>
      <c r="AJ147">
        <v>1</v>
      </c>
      <c r="AK147">
        <v>8</v>
      </c>
      <c r="AL147">
        <v>7</v>
      </c>
    </row>
    <row r="148" spans="1:38" x14ac:dyDescent="0.35">
      <c r="A148" t="s">
        <v>1031</v>
      </c>
      <c r="B148">
        <v>324915.95579999959</v>
      </c>
      <c r="C148">
        <v>6403609.9824000001</v>
      </c>
      <c r="D148">
        <v>9422873</v>
      </c>
      <c r="E148" t="s">
        <v>1032</v>
      </c>
      <c r="F148" t="s">
        <v>1033</v>
      </c>
      <c r="G148">
        <v>108893</v>
      </c>
      <c r="H148">
        <v>2</v>
      </c>
      <c r="I148" t="s">
        <v>1034</v>
      </c>
      <c r="J148" t="s">
        <v>1035</v>
      </c>
      <c r="K148">
        <v>118664</v>
      </c>
      <c r="L148">
        <v>2</v>
      </c>
      <c r="M148">
        <v>9771</v>
      </c>
      <c r="N148" t="s">
        <v>1036</v>
      </c>
      <c r="O148" t="s">
        <v>1037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47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1</v>
      </c>
      <c r="AJ148">
        <v>4</v>
      </c>
      <c r="AK148">
        <v>11</v>
      </c>
      <c r="AL148">
        <v>7</v>
      </c>
    </row>
    <row r="149" spans="1:38" x14ac:dyDescent="0.35">
      <c r="A149" t="s">
        <v>1038</v>
      </c>
      <c r="B149">
        <v>319858.06049999967</v>
      </c>
      <c r="C149">
        <v>6400284.1379000004</v>
      </c>
      <c r="D149">
        <v>1839193</v>
      </c>
      <c r="E149" t="s">
        <v>1039</v>
      </c>
      <c r="F149" t="s">
        <v>1040</v>
      </c>
      <c r="G149">
        <v>140559</v>
      </c>
      <c r="H149">
        <v>2</v>
      </c>
      <c r="I149" t="s">
        <v>1041</v>
      </c>
      <c r="J149" t="s">
        <v>1042</v>
      </c>
      <c r="K149">
        <v>150354</v>
      </c>
      <c r="L149">
        <v>2</v>
      </c>
      <c r="M149">
        <v>9795</v>
      </c>
      <c r="N149" t="s">
        <v>1043</v>
      </c>
      <c r="O149" t="s">
        <v>1044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47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1</v>
      </c>
      <c r="AJ149">
        <v>13</v>
      </c>
      <c r="AK149">
        <v>20</v>
      </c>
      <c r="AL149">
        <v>7</v>
      </c>
    </row>
    <row r="150" spans="1:38" x14ac:dyDescent="0.35">
      <c r="A150" t="s">
        <v>1045</v>
      </c>
      <c r="B150">
        <v>326107.48350000009</v>
      </c>
      <c r="C150">
        <v>6401522.4409999996</v>
      </c>
      <c r="D150">
        <v>4738081</v>
      </c>
      <c r="E150" t="s">
        <v>1046</v>
      </c>
      <c r="F150" t="s">
        <v>1047</v>
      </c>
      <c r="G150">
        <v>111166</v>
      </c>
      <c r="H150">
        <v>2</v>
      </c>
      <c r="I150" t="s">
        <v>1048</v>
      </c>
      <c r="J150" t="s">
        <v>1049</v>
      </c>
      <c r="K150">
        <v>120964</v>
      </c>
      <c r="L150">
        <v>2</v>
      </c>
      <c r="M150">
        <v>9798</v>
      </c>
      <c r="N150" t="s">
        <v>1050</v>
      </c>
      <c r="O150" t="s">
        <v>1051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47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1</v>
      </c>
      <c r="AJ150">
        <v>5</v>
      </c>
      <c r="AK150">
        <v>12</v>
      </c>
      <c r="AL150">
        <v>7</v>
      </c>
    </row>
    <row r="151" spans="1:38" x14ac:dyDescent="0.35">
      <c r="A151" t="s">
        <v>1052</v>
      </c>
      <c r="B151">
        <v>327490.32990000019</v>
      </c>
      <c r="C151">
        <v>6393829.7415999994</v>
      </c>
      <c r="D151">
        <v>2129373</v>
      </c>
      <c r="E151" t="s">
        <v>1053</v>
      </c>
      <c r="F151" t="s">
        <v>1054</v>
      </c>
      <c r="G151">
        <v>114304</v>
      </c>
      <c r="H151">
        <v>2</v>
      </c>
      <c r="I151" t="s">
        <v>1055</v>
      </c>
      <c r="J151" t="s">
        <v>1056</v>
      </c>
      <c r="K151">
        <v>124119</v>
      </c>
      <c r="L151">
        <v>2</v>
      </c>
      <c r="M151">
        <v>9815</v>
      </c>
      <c r="N151" t="s">
        <v>1057</v>
      </c>
      <c r="O151" t="s">
        <v>1058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90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1</v>
      </c>
      <c r="AJ151">
        <v>6</v>
      </c>
      <c r="AK151">
        <v>12</v>
      </c>
      <c r="AL151">
        <v>6</v>
      </c>
    </row>
    <row r="152" spans="1:38" x14ac:dyDescent="0.35">
      <c r="A152" t="s">
        <v>1059</v>
      </c>
      <c r="B152">
        <v>316396.46349999961</v>
      </c>
      <c r="C152">
        <v>6398922.5167999994</v>
      </c>
      <c r="D152">
        <v>9412791</v>
      </c>
      <c r="E152" t="s">
        <v>1060</v>
      </c>
      <c r="F152" t="s">
        <v>1061</v>
      </c>
      <c r="G152">
        <v>121317</v>
      </c>
      <c r="H152">
        <v>2</v>
      </c>
      <c r="I152" t="s">
        <v>1062</v>
      </c>
      <c r="J152" t="s">
        <v>1063</v>
      </c>
      <c r="K152">
        <v>131139</v>
      </c>
      <c r="L152">
        <v>2</v>
      </c>
      <c r="M152">
        <v>9822</v>
      </c>
      <c r="N152" t="s">
        <v>1064</v>
      </c>
      <c r="O152" t="s">
        <v>1065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47</v>
      </c>
      <c r="AC152">
        <v>33</v>
      </c>
      <c r="AD152">
        <v>34917</v>
      </c>
      <c r="AE152">
        <v>44739</v>
      </c>
      <c r="AF152">
        <v>52</v>
      </c>
      <c r="AG152">
        <v>1</v>
      </c>
      <c r="AH152">
        <v>0.54200000000000004</v>
      </c>
      <c r="AI152">
        <v>1</v>
      </c>
      <c r="AJ152">
        <v>8</v>
      </c>
      <c r="AK152">
        <v>14</v>
      </c>
      <c r="AL152">
        <v>6</v>
      </c>
    </row>
    <row r="153" spans="1:38" x14ac:dyDescent="0.35">
      <c r="A153" t="s">
        <v>1066</v>
      </c>
      <c r="B153">
        <v>315943.41789999983</v>
      </c>
      <c r="C153">
        <v>6398025.8147999998</v>
      </c>
      <c r="D153">
        <v>7324178</v>
      </c>
      <c r="E153" t="s">
        <v>1067</v>
      </c>
      <c r="F153" t="s">
        <v>1068</v>
      </c>
      <c r="G153">
        <v>115496</v>
      </c>
      <c r="H153">
        <v>2</v>
      </c>
      <c r="I153" t="s">
        <v>1069</v>
      </c>
      <c r="J153" t="s">
        <v>1070</v>
      </c>
      <c r="K153">
        <v>125319</v>
      </c>
      <c r="L153">
        <v>2</v>
      </c>
      <c r="M153">
        <v>9823</v>
      </c>
      <c r="N153" t="s">
        <v>1071</v>
      </c>
      <c r="O153" t="s">
        <v>1072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47</v>
      </c>
      <c r="AC153">
        <v>32</v>
      </c>
      <c r="AD153">
        <v>29096</v>
      </c>
      <c r="AE153">
        <v>38919</v>
      </c>
      <c r="AF153">
        <v>52</v>
      </c>
      <c r="AG153">
        <v>1</v>
      </c>
      <c r="AH153">
        <v>0.54200000000000004</v>
      </c>
      <c r="AI153">
        <v>1</v>
      </c>
      <c r="AJ153">
        <v>6</v>
      </c>
      <c r="AK153">
        <v>13</v>
      </c>
      <c r="AL153">
        <v>7</v>
      </c>
    </row>
    <row r="154" spans="1:38" x14ac:dyDescent="0.35">
      <c r="A154" t="s">
        <v>1073</v>
      </c>
      <c r="B154">
        <v>328046.90500000032</v>
      </c>
      <c r="C154">
        <v>6395405.0714999996</v>
      </c>
      <c r="D154">
        <v>4623763</v>
      </c>
      <c r="E154" t="s">
        <v>1074</v>
      </c>
      <c r="F154" t="s">
        <v>1075</v>
      </c>
      <c r="G154">
        <v>109956</v>
      </c>
      <c r="H154">
        <v>2</v>
      </c>
      <c r="I154" t="s">
        <v>1076</v>
      </c>
      <c r="J154" t="s">
        <v>1077</v>
      </c>
      <c r="K154">
        <v>119814</v>
      </c>
      <c r="L154">
        <v>2</v>
      </c>
      <c r="M154">
        <v>9858</v>
      </c>
      <c r="N154" t="s">
        <v>1078</v>
      </c>
      <c r="O154" t="s">
        <v>1079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47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1</v>
      </c>
      <c r="AJ154">
        <v>5</v>
      </c>
      <c r="AK154">
        <v>11</v>
      </c>
      <c r="AL154">
        <v>6</v>
      </c>
    </row>
    <row r="155" spans="1:38" x14ac:dyDescent="0.35">
      <c r="A155" t="s">
        <v>1080</v>
      </c>
      <c r="B155">
        <v>316231.6445000004</v>
      </c>
      <c r="C155">
        <v>6400434.1600000001</v>
      </c>
      <c r="D155">
        <v>4771115</v>
      </c>
      <c r="E155" t="s">
        <v>1081</v>
      </c>
      <c r="F155" t="s">
        <v>1082</v>
      </c>
      <c r="G155">
        <v>120971</v>
      </c>
      <c r="H155">
        <v>2</v>
      </c>
      <c r="I155" t="s">
        <v>1083</v>
      </c>
      <c r="J155" t="s">
        <v>1084</v>
      </c>
      <c r="K155">
        <v>130854</v>
      </c>
      <c r="L155">
        <v>2</v>
      </c>
      <c r="M155">
        <v>9883</v>
      </c>
      <c r="N155" t="s">
        <v>1085</v>
      </c>
      <c r="O155" t="s">
        <v>1086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47</v>
      </c>
      <c r="AC155">
        <v>33</v>
      </c>
      <c r="AD155">
        <v>34571</v>
      </c>
      <c r="AE155">
        <v>44454</v>
      </c>
      <c r="AF155">
        <v>34</v>
      </c>
      <c r="AG155">
        <v>1</v>
      </c>
      <c r="AH155">
        <v>0.27400000000000002</v>
      </c>
      <c r="AI155">
        <v>1</v>
      </c>
      <c r="AJ155">
        <v>8</v>
      </c>
      <c r="AK155">
        <v>14</v>
      </c>
      <c r="AL155">
        <v>6</v>
      </c>
    </row>
    <row r="156" spans="1:38" x14ac:dyDescent="0.35">
      <c r="A156" t="s">
        <v>1087</v>
      </c>
      <c r="B156">
        <v>318074.85130000021</v>
      </c>
      <c r="C156">
        <v>6393619.3165999996</v>
      </c>
      <c r="D156">
        <v>2944837</v>
      </c>
      <c r="E156" t="s">
        <v>1088</v>
      </c>
      <c r="F156" t="s">
        <v>1089</v>
      </c>
      <c r="G156">
        <v>116290</v>
      </c>
      <c r="H156">
        <v>2</v>
      </c>
      <c r="I156" t="s">
        <v>1090</v>
      </c>
      <c r="J156" t="s">
        <v>1091</v>
      </c>
      <c r="K156">
        <v>126174</v>
      </c>
      <c r="L156">
        <v>2</v>
      </c>
      <c r="M156">
        <v>9884</v>
      </c>
      <c r="N156" t="s">
        <v>1092</v>
      </c>
      <c r="O156" t="s">
        <v>1093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47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1</v>
      </c>
      <c r="AJ156">
        <v>6</v>
      </c>
      <c r="AK156">
        <v>13</v>
      </c>
      <c r="AL156">
        <v>7</v>
      </c>
    </row>
    <row r="157" spans="1:38" x14ac:dyDescent="0.35">
      <c r="A157" t="s">
        <v>1094</v>
      </c>
      <c r="B157">
        <v>320442.43869999982</v>
      </c>
      <c r="C157">
        <v>6399749.3421999998</v>
      </c>
      <c r="D157">
        <v>9409491</v>
      </c>
      <c r="E157" t="s">
        <v>1095</v>
      </c>
      <c r="F157" t="s">
        <v>1096</v>
      </c>
      <c r="G157">
        <v>112070</v>
      </c>
      <c r="H157">
        <v>2</v>
      </c>
      <c r="I157" t="s">
        <v>1097</v>
      </c>
      <c r="J157" t="s">
        <v>1098</v>
      </c>
      <c r="K157">
        <v>121964</v>
      </c>
      <c r="L157">
        <v>2</v>
      </c>
      <c r="M157">
        <v>9894</v>
      </c>
      <c r="N157" t="s">
        <v>1099</v>
      </c>
      <c r="O157" t="s">
        <v>1100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47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1</v>
      </c>
      <c r="AJ157">
        <v>5</v>
      </c>
      <c r="AK157">
        <v>12</v>
      </c>
      <c r="AL157">
        <v>7</v>
      </c>
    </row>
    <row r="158" spans="1:38" x14ac:dyDescent="0.35">
      <c r="A158" t="s">
        <v>1101</v>
      </c>
      <c r="B158">
        <v>321579.93169999961</v>
      </c>
      <c r="C158">
        <v>6403823.0979999993</v>
      </c>
      <c r="D158">
        <v>1938732</v>
      </c>
      <c r="E158" t="s">
        <v>1102</v>
      </c>
      <c r="F158" t="s">
        <v>1103</v>
      </c>
      <c r="G158">
        <v>117848</v>
      </c>
      <c r="H158">
        <v>2</v>
      </c>
      <c r="I158" t="s">
        <v>1104</v>
      </c>
      <c r="J158" t="s">
        <v>1105</v>
      </c>
      <c r="K158">
        <v>127749</v>
      </c>
      <c r="L158">
        <v>2</v>
      </c>
      <c r="M158">
        <v>9901</v>
      </c>
      <c r="N158" t="s">
        <v>1106</v>
      </c>
      <c r="O158" t="s">
        <v>1107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47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1</v>
      </c>
      <c r="AJ158">
        <v>7</v>
      </c>
      <c r="AK158">
        <v>13</v>
      </c>
      <c r="AL158">
        <v>6</v>
      </c>
    </row>
    <row r="159" spans="1:38" x14ac:dyDescent="0.35">
      <c r="A159" t="s">
        <v>1108</v>
      </c>
      <c r="B159">
        <v>324159.06340000028</v>
      </c>
      <c r="C159">
        <v>6401601.4002</v>
      </c>
      <c r="D159">
        <v>1984076</v>
      </c>
      <c r="E159" t="s">
        <v>1109</v>
      </c>
      <c r="F159" t="s">
        <v>1110</v>
      </c>
      <c r="G159">
        <v>117407</v>
      </c>
      <c r="H159">
        <v>2</v>
      </c>
      <c r="I159" t="s">
        <v>1111</v>
      </c>
      <c r="J159" t="s">
        <v>1112</v>
      </c>
      <c r="K159">
        <v>127314</v>
      </c>
      <c r="L159">
        <v>2</v>
      </c>
      <c r="M159">
        <v>9907</v>
      </c>
      <c r="N159" t="s">
        <v>1113</v>
      </c>
      <c r="O159" t="s">
        <v>1114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47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1</v>
      </c>
      <c r="AJ159">
        <v>7</v>
      </c>
      <c r="AK159">
        <v>13</v>
      </c>
      <c r="AL159">
        <v>6</v>
      </c>
    </row>
    <row r="160" spans="1:38" x14ac:dyDescent="0.35">
      <c r="A160" t="s">
        <v>1115</v>
      </c>
      <c r="B160">
        <v>319778.90979999962</v>
      </c>
      <c r="C160">
        <v>6398496.0551000005</v>
      </c>
      <c r="D160">
        <v>2030919</v>
      </c>
      <c r="E160" t="s">
        <v>1116</v>
      </c>
      <c r="F160" t="s">
        <v>1117</v>
      </c>
      <c r="G160">
        <v>114917</v>
      </c>
      <c r="H160">
        <v>2</v>
      </c>
      <c r="I160" t="s">
        <v>1118</v>
      </c>
      <c r="J160" t="s">
        <v>1119</v>
      </c>
      <c r="K160">
        <v>124829</v>
      </c>
      <c r="L160">
        <v>2</v>
      </c>
      <c r="M160">
        <v>9912</v>
      </c>
      <c r="N160" t="s">
        <v>1120</v>
      </c>
      <c r="O160" t="s">
        <v>1121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47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1</v>
      </c>
      <c r="AJ160">
        <v>6</v>
      </c>
      <c r="AK160">
        <v>13</v>
      </c>
      <c r="AL160">
        <v>7</v>
      </c>
    </row>
    <row r="161" spans="1:38" x14ac:dyDescent="0.35">
      <c r="A161" t="s">
        <v>1122</v>
      </c>
      <c r="B161">
        <v>319364.55250000022</v>
      </c>
      <c r="C161">
        <v>6400843.5449999999</v>
      </c>
      <c r="D161">
        <v>2318206</v>
      </c>
      <c r="E161" t="s">
        <v>1123</v>
      </c>
      <c r="F161" t="s">
        <v>1124</v>
      </c>
      <c r="G161">
        <v>120299</v>
      </c>
      <c r="H161">
        <v>2</v>
      </c>
      <c r="I161" t="s">
        <v>1125</v>
      </c>
      <c r="J161" t="s">
        <v>1126</v>
      </c>
      <c r="K161">
        <v>130214</v>
      </c>
      <c r="L161">
        <v>2</v>
      </c>
      <c r="M161">
        <v>9915</v>
      </c>
      <c r="N161" t="s">
        <v>1127</v>
      </c>
      <c r="O161" t="s">
        <v>1128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47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1</v>
      </c>
      <c r="AJ161">
        <v>7</v>
      </c>
      <c r="AK161">
        <v>14</v>
      </c>
      <c r="AL161">
        <v>7</v>
      </c>
    </row>
    <row r="162" spans="1:38" x14ac:dyDescent="0.35">
      <c r="A162" t="s">
        <v>1129</v>
      </c>
      <c r="B162">
        <v>319609.55099999998</v>
      </c>
      <c r="C162">
        <v>6400232.8046000004</v>
      </c>
      <c r="D162">
        <v>7413991</v>
      </c>
      <c r="E162" t="s">
        <v>1130</v>
      </c>
      <c r="F162" t="s">
        <v>1131</v>
      </c>
      <c r="G162">
        <v>112887</v>
      </c>
      <c r="H162">
        <v>2</v>
      </c>
      <c r="I162" t="s">
        <v>1132</v>
      </c>
      <c r="J162" t="s">
        <v>1133</v>
      </c>
      <c r="K162">
        <v>122804</v>
      </c>
      <c r="L162">
        <v>2</v>
      </c>
      <c r="M162">
        <v>9917</v>
      </c>
      <c r="N162" t="s">
        <v>1134</v>
      </c>
      <c r="O162" t="s">
        <v>1135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47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1</v>
      </c>
      <c r="AJ162">
        <v>5</v>
      </c>
      <c r="AK162">
        <v>12</v>
      </c>
      <c r="AL162">
        <v>7</v>
      </c>
    </row>
    <row r="163" spans="1:38" x14ac:dyDescent="0.35">
      <c r="A163" t="s">
        <v>1136</v>
      </c>
      <c r="B163">
        <v>320224.69919999968</v>
      </c>
      <c r="C163">
        <v>6400066.3421999998</v>
      </c>
      <c r="D163">
        <v>4694984</v>
      </c>
      <c r="E163" t="s">
        <v>1137</v>
      </c>
      <c r="F163" t="s">
        <v>1138</v>
      </c>
      <c r="G163">
        <v>130967</v>
      </c>
      <c r="H163">
        <v>2</v>
      </c>
      <c r="I163" t="s">
        <v>1139</v>
      </c>
      <c r="J163" t="s">
        <v>1140</v>
      </c>
      <c r="K163">
        <v>140884</v>
      </c>
      <c r="L163">
        <v>2</v>
      </c>
      <c r="M163">
        <v>9917</v>
      </c>
      <c r="N163" t="s">
        <v>1141</v>
      </c>
      <c r="O163" t="s">
        <v>1142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47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1</v>
      </c>
      <c r="AJ163">
        <v>10</v>
      </c>
      <c r="AK163">
        <v>17</v>
      </c>
      <c r="AL163">
        <v>7</v>
      </c>
    </row>
    <row r="164" spans="1:38" x14ac:dyDescent="0.35">
      <c r="A164" t="s">
        <v>1143</v>
      </c>
      <c r="B164">
        <v>320629.06190000009</v>
      </c>
      <c r="C164">
        <v>6400199.1793000009</v>
      </c>
      <c r="D164">
        <v>4708515</v>
      </c>
      <c r="E164" t="s">
        <v>1144</v>
      </c>
      <c r="F164" t="s">
        <v>1145</v>
      </c>
      <c r="G164">
        <v>118145</v>
      </c>
      <c r="H164">
        <v>2</v>
      </c>
      <c r="I164" t="s">
        <v>1146</v>
      </c>
      <c r="J164" t="s">
        <v>1147</v>
      </c>
      <c r="K164">
        <v>128074</v>
      </c>
      <c r="L164">
        <v>2</v>
      </c>
      <c r="M164">
        <v>9929</v>
      </c>
      <c r="N164" t="s">
        <v>1148</v>
      </c>
      <c r="O164" t="s">
        <v>1149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47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1</v>
      </c>
      <c r="AJ164">
        <v>7</v>
      </c>
      <c r="AK164">
        <v>14</v>
      </c>
      <c r="AL164">
        <v>7</v>
      </c>
    </row>
    <row r="165" spans="1:38" x14ac:dyDescent="0.35">
      <c r="A165" t="s">
        <v>1150</v>
      </c>
      <c r="B165">
        <v>309224.15689999983</v>
      </c>
      <c r="C165">
        <v>6388496.2022999991</v>
      </c>
      <c r="D165">
        <v>4659893</v>
      </c>
      <c r="E165" t="s">
        <v>1151</v>
      </c>
      <c r="F165" t="s">
        <v>1152</v>
      </c>
      <c r="G165">
        <v>136646</v>
      </c>
      <c r="H165">
        <v>2</v>
      </c>
      <c r="I165" t="s">
        <v>1153</v>
      </c>
      <c r="J165" t="s">
        <v>1154</v>
      </c>
      <c r="K165">
        <v>146599</v>
      </c>
      <c r="L165">
        <v>2</v>
      </c>
      <c r="M165">
        <v>9953</v>
      </c>
      <c r="N165" t="s">
        <v>1155</v>
      </c>
      <c r="O165" t="s">
        <v>1156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47</v>
      </c>
      <c r="AC165">
        <v>37</v>
      </c>
      <c r="AD165">
        <v>50246</v>
      </c>
      <c r="AE165">
        <v>60199</v>
      </c>
      <c r="AF165">
        <v>42</v>
      </c>
      <c r="AG165">
        <v>1</v>
      </c>
      <c r="AH165">
        <v>0.39700000000000002</v>
      </c>
      <c r="AI165">
        <v>1</v>
      </c>
      <c r="AJ165">
        <v>12</v>
      </c>
      <c r="AK165">
        <v>19</v>
      </c>
      <c r="AL165">
        <v>7</v>
      </c>
    </row>
    <row r="166" spans="1:38" x14ac:dyDescent="0.35">
      <c r="A166" t="s">
        <v>1157</v>
      </c>
      <c r="B166">
        <v>322796.18450000038</v>
      </c>
      <c r="C166">
        <v>6402506.7810000004</v>
      </c>
      <c r="D166">
        <v>7363712</v>
      </c>
      <c r="E166" t="s">
        <v>1158</v>
      </c>
      <c r="F166" t="s">
        <v>1159</v>
      </c>
      <c r="G166">
        <v>108062</v>
      </c>
      <c r="H166">
        <v>2</v>
      </c>
      <c r="I166" t="s">
        <v>1160</v>
      </c>
      <c r="J166" t="s">
        <v>1161</v>
      </c>
      <c r="K166">
        <v>118024</v>
      </c>
      <c r="L166">
        <v>2</v>
      </c>
      <c r="M166">
        <v>9962</v>
      </c>
      <c r="N166" t="s">
        <v>1162</v>
      </c>
      <c r="O166" t="s">
        <v>1163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47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1</v>
      </c>
      <c r="AJ166">
        <v>4</v>
      </c>
      <c r="AK166">
        <v>11</v>
      </c>
      <c r="AL166">
        <v>7</v>
      </c>
    </row>
    <row r="167" spans="1:38" x14ac:dyDescent="0.35">
      <c r="A167" t="s">
        <v>1164</v>
      </c>
      <c r="B167">
        <v>327941.84649999999</v>
      </c>
      <c r="C167">
        <v>6395643.0669999998</v>
      </c>
      <c r="D167">
        <v>1980036</v>
      </c>
      <c r="E167" t="s">
        <v>1165</v>
      </c>
      <c r="F167" t="s">
        <v>1166</v>
      </c>
      <c r="G167">
        <v>118418</v>
      </c>
      <c r="H167">
        <v>2</v>
      </c>
      <c r="I167" t="s">
        <v>1167</v>
      </c>
      <c r="J167" t="s">
        <v>1168</v>
      </c>
      <c r="K167">
        <v>128384</v>
      </c>
      <c r="L167">
        <v>2</v>
      </c>
      <c r="M167">
        <v>9966</v>
      </c>
      <c r="N167" t="s">
        <v>1169</v>
      </c>
      <c r="O167" t="s">
        <v>1170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47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1</v>
      </c>
      <c r="AJ167">
        <v>7</v>
      </c>
      <c r="AK167">
        <v>14</v>
      </c>
      <c r="AL167">
        <v>7</v>
      </c>
    </row>
    <row r="168" spans="1:38" x14ac:dyDescent="0.35">
      <c r="A168" t="s">
        <v>1171</v>
      </c>
      <c r="B168">
        <v>319716.21310000028</v>
      </c>
      <c r="C168">
        <v>6401104.6040000003</v>
      </c>
      <c r="D168">
        <v>7452680</v>
      </c>
      <c r="E168" t="s">
        <v>1172</v>
      </c>
      <c r="F168" t="s">
        <v>1173</v>
      </c>
      <c r="G168">
        <v>113851</v>
      </c>
      <c r="H168">
        <v>2</v>
      </c>
      <c r="I168" t="s">
        <v>1174</v>
      </c>
      <c r="J168" t="s">
        <v>1175</v>
      </c>
      <c r="K168">
        <v>123829</v>
      </c>
      <c r="L168">
        <v>2</v>
      </c>
      <c r="M168">
        <v>9978</v>
      </c>
      <c r="N168" t="s">
        <v>1176</v>
      </c>
      <c r="O168" t="s">
        <v>1177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47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1</v>
      </c>
      <c r="AJ168">
        <v>6</v>
      </c>
      <c r="AK168">
        <v>12</v>
      </c>
      <c r="AL168">
        <v>6</v>
      </c>
    </row>
    <row r="169" spans="1:38" x14ac:dyDescent="0.35">
      <c r="A169" t="s">
        <v>1178</v>
      </c>
      <c r="B169">
        <v>326771.54849999963</v>
      </c>
      <c r="C169">
        <v>6397268.8224999998</v>
      </c>
      <c r="D169">
        <v>4688245</v>
      </c>
      <c r="E169" t="s">
        <v>1179</v>
      </c>
      <c r="F169" t="s">
        <v>1180</v>
      </c>
      <c r="G169">
        <v>125396</v>
      </c>
      <c r="H169">
        <v>2</v>
      </c>
      <c r="I169" t="s">
        <v>1181</v>
      </c>
      <c r="J169" t="s">
        <v>1182</v>
      </c>
      <c r="K169">
        <v>135374</v>
      </c>
      <c r="L169">
        <v>2</v>
      </c>
      <c r="M169">
        <v>9978</v>
      </c>
      <c r="N169" t="s">
        <v>1183</v>
      </c>
      <c r="O169" t="s">
        <v>1184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90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1</v>
      </c>
      <c r="AJ169">
        <v>9</v>
      </c>
      <c r="AK169">
        <v>16</v>
      </c>
      <c r="AL169">
        <v>7</v>
      </c>
    </row>
    <row r="170" spans="1:38" x14ac:dyDescent="0.35">
      <c r="A170" t="s">
        <v>1185</v>
      </c>
      <c r="B170">
        <v>318474.23610000039</v>
      </c>
      <c r="C170">
        <v>6406154.7836000007</v>
      </c>
      <c r="D170">
        <v>1837617</v>
      </c>
      <c r="E170" t="s">
        <v>1186</v>
      </c>
      <c r="F170" t="s">
        <v>1187</v>
      </c>
      <c r="G170">
        <v>105859</v>
      </c>
      <c r="H170">
        <v>2</v>
      </c>
      <c r="I170" t="s">
        <v>1188</v>
      </c>
      <c r="J170" t="s">
        <v>1189</v>
      </c>
      <c r="K170">
        <v>115864</v>
      </c>
      <c r="L170">
        <v>2</v>
      </c>
      <c r="M170">
        <v>10005</v>
      </c>
      <c r="N170" t="s">
        <v>1190</v>
      </c>
      <c r="O170" t="s">
        <v>1191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47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1</v>
      </c>
      <c r="AJ170">
        <v>3</v>
      </c>
      <c r="AK170">
        <v>10</v>
      </c>
      <c r="AL170">
        <v>7</v>
      </c>
    </row>
    <row r="171" spans="1:38" x14ac:dyDescent="0.35">
      <c r="A171" t="s">
        <v>1192</v>
      </c>
      <c r="B171">
        <v>312935.81269999972</v>
      </c>
      <c r="C171">
        <v>6403477.9522999991</v>
      </c>
      <c r="D171">
        <v>4605049</v>
      </c>
      <c r="E171" t="s">
        <v>1193</v>
      </c>
      <c r="F171" t="s">
        <v>1194</v>
      </c>
      <c r="G171">
        <v>111096</v>
      </c>
      <c r="H171">
        <v>2</v>
      </c>
      <c r="I171" t="s">
        <v>1195</v>
      </c>
      <c r="J171" t="s">
        <v>1196</v>
      </c>
      <c r="K171">
        <v>121104</v>
      </c>
      <c r="L171">
        <v>2</v>
      </c>
      <c r="M171">
        <v>10008</v>
      </c>
      <c r="N171" t="s">
        <v>1197</v>
      </c>
      <c r="O171" t="s">
        <v>1198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47</v>
      </c>
      <c r="AC171">
        <v>30</v>
      </c>
      <c r="AD171">
        <v>24696</v>
      </c>
      <c r="AE171">
        <v>34704</v>
      </c>
      <c r="AF171">
        <v>34</v>
      </c>
      <c r="AG171">
        <v>1</v>
      </c>
      <c r="AH171">
        <v>0.26300000000000001</v>
      </c>
      <c r="AI171">
        <v>1</v>
      </c>
      <c r="AJ171">
        <v>5</v>
      </c>
      <c r="AK171">
        <v>12</v>
      </c>
      <c r="AL171">
        <v>7</v>
      </c>
    </row>
    <row r="172" spans="1:38" x14ac:dyDescent="0.35">
      <c r="A172" t="s">
        <v>1199</v>
      </c>
      <c r="B172">
        <v>324771.33380000008</v>
      </c>
      <c r="C172">
        <v>6395530.8488999996</v>
      </c>
      <c r="D172">
        <v>9562527</v>
      </c>
      <c r="E172" t="s">
        <v>1200</v>
      </c>
      <c r="F172" t="s">
        <v>1201</v>
      </c>
      <c r="G172">
        <v>123569</v>
      </c>
      <c r="H172">
        <v>2</v>
      </c>
      <c r="I172" t="s">
        <v>1202</v>
      </c>
      <c r="J172" t="s">
        <v>1203</v>
      </c>
      <c r="K172">
        <v>133579</v>
      </c>
      <c r="L172">
        <v>2</v>
      </c>
      <c r="M172">
        <v>10010</v>
      </c>
      <c r="N172" t="s">
        <v>1204</v>
      </c>
      <c r="O172" t="s">
        <v>1205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47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1</v>
      </c>
      <c r="AJ172">
        <v>8</v>
      </c>
      <c r="AK172">
        <v>15</v>
      </c>
      <c r="AL172">
        <v>7</v>
      </c>
    </row>
    <row r="173" spans="1:38" x14ac:dyDescent="0.35">
      <c r="A173" t="s">
        <v>1206</v>
      </c>
      <c r="B173">
        <v>318479.74110000022</v>
      </c>
      <c r="C173">
        <v>6398351.3787999991</v>
      </c>
      <c r="D173">
        <v>1996702</v>
      </c>
      <c r="E173" t="s">
        <v>1207</v>
      </c>
      <c r="F173" t="s">
        <v>1208</v>
      </c>
      <c r="G173">
        <v>144252</v>
      </c>
      <c r="H173">
        <v>2</v>
      </c>
      <c r="I173" t="s">
        <v>1209</v>
      </c>
      <c r="J173" t="s">
        <v>1210</v>
      </c>
      <c r="K173">
        <v>154269</v>
      </c>
      <c r="L173">
        <v>2</v>
      </c>
      <c r="M173">
        <v>10017</v>
      </c>
      <c r="N173" t="s">
        <v>1211</v>
      </c>
      <c r="O173" t="s">
        <v>1212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47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1</v>
      </c>
      <c r="AJ173">
        <v>14</v>
      </c>
      <c r="AK173">
        <v>21</v>
      </c>
      <c r="AL173">
        <v>7</v>
      </c>
    </row>
    <row r="174" spans="1:38" x14ac:dyDescent="0.35">
      <c r="A174" t="s">
        <v>1213</v>
      </c>
      <c r="B174">
        <v>314159.93950000033</v>
      </c>
      <c r="C174">
        <v>6397921.1823000005</v>
      </c>
      <c r="D174">
        <v>1951459</v>
      </c>
      <c r="E174" t="s">
        <v>1214</v>
      </c>
      <c r="F174" t="s">
        <v>1215</v>
      </c>
      <c r="G174">
        <v>119162</v>
      </c>
      <c r="H174">
        <v>2</v>
      </c>
      <c r="I174" t="s">
        <v>1216</v>
      </c>
      <c r="J174" t="s">
        <v>1217</v>
      </c>
      <c r="K174">
        <v>129189</v>
      </c>
      <c r="L174">
        <v>2</v>
      </c>
      <c r="M174">
        <v>10027</v>
      </c>
      <c r="N174" t="s">
        <v>1218</v>
      </c>
      <c r="O174" t="s">
        <v>1219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47</v>
      </c>
      <c r="AC174">
        <v>33</v>
      </c>
      <c r="AD174">
        <v>32762</v>
      </c>
      <c r="AE174">
        <v>42789</v>
      </c>
      <c r="AF174">
        <v>34</v>
      </c>
      <c r="AG174">
        <v>1</v>
      </c>
      <c r="AH174">
        <v>0.26100000000000001</v>
      </c>
      <c r="AI174">
        <v>1</v>
      </c>
      <c r="AJ174">
        <v>7</v>
      </c>
      <c r="AK174">
        <v>14</v>
      </c>
      <c r="AL174">
        <v>7</v>
      </c>
    </row>
    <row r="175" spans="1:38" x14ac:dyDescent="0.35">
      <c r="A175" t="s">
        <v>1220</v>
      </c>
      <c r="B175">
        <v>319660.4944000002</v>
      </c>
      <c r="C175">
        <v>6398036.4442999996</v>
      </c>
      <c r="D175">
        <v>9530335</v>
      </c>
      <c r="E175" t="s">
        <v>1221</v>
      </c>
      <c r="F175" t="s">
        <v>1222</v>
      </c>
      <c r="G175">
        <v>114960</v>
      </c>
      <c r="H175">
        <v>2</v>
      </c>
      <c r="I175" t="s">
        <v>1223</v>
      </c>
      <c r="J175" t="s">
        <v>1224</v>
      </c>
      <c r="K175">
        <v>124989</v>
      </c>
      <c r="L175">
        <v>2</v>
      </c>
      <c r="M175">
        <v>10029</v>
      </c>
      <c r="N175" t="s">
        <v>1225</v>
      </c>
      <c r="O175" t="s">
        <v>1226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47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1</v>
      </c>
      <c r="AJ175">
        <v>6</v>
      </c>
      <c r="AK175">
        <v>13</v>
      </c>
      <c r="AL175">
        <v>7</v>
      </c>
    </row>
    <row r="176" spans="1:38" x14ac:dyDescent="0.35">
      <c r="A176" t="s">
        <v>1227</v>
      </c>
      <c r="B176">
        <v>322641.47030000022</v>
      </c>
      <c r="C176">
        <v>6402472.8888000008</v>
      </c>
      <c r="D176">
        <v>4662560</v>
      </c>
      <c r="E176" t="s">
        <v>1228</v>
      </c>
      <c r="F176" t="s">
        <v>1229</v>
      </c>
      <c r="G176">
        <v>132932</v>
      </c>
      <c r="H176">
        <v>2</v>
      </c>
      <c r="I176" t="s">
        <v>1230</v>
      </c>
      <c r="J176" t="s">
        <v>1231</v>
      </c>
      <c r="K176">
        <v>142979</v>
      </c>
      <c r="L176">
        <v>2</v>
      </c>
      <c r="M176">
        <v>10047</v>
      </c>
      <c r="N176" t="s">
        <v>1232</v>
      </c>
      <c r="O176" t="s">
        <v>1233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47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1</v>
      </c>
      <c r="AJ176">
        <v>11</v>
      </c>
      <c r="AK176">
        <v>18</v>
      </c>
      <c r="AL176">
        <v>7</v>
      </c>
    </row>
    <row r="177" spans="1:38" x14ac:dyDescent="0.35">
      <c r="A177" t="s">
        <v>1234</v>
      </c>
      <c r="B177">
        <v>320355.22950000042</v>
      </c>
      <c r="C177">
        <v>6400360.6557999998</v>
      </c>
      <c r="D177">
        <v>4624014</v>
      </c>
      <c r="E177" t="s">
        <v>1235</v>
      </c>
      <c r="F177" t="s">
        <v>1236</v>
      </c>
      <c r="G177">
        <v>128884</v>
      </c>
      <c r="H177">
        <v>2</v>
      </c>
      <c r="I177" t="s">
        <v>1237</v>
      </c>
      <c r="J177" t="s">
        <v>1238</v>
      </c>
      <c r="K177">
        <v>138949</v>
      </c>
      <c r="L177">
        <v>2</v>
      </c>
      <c r="M177">
        <v>10065</v>
      </c>
      <c r="N177" t="s">
        <v>1239</v>
      </c>
      <c r="O177" t="s">
        <v>1240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47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1</v>
      </c>
      <c r="AJ177">
        <v>10</v>
      </c>
      <c r="AK177">
        <v>17</v>
      </c>
      <c r="AL177">
        <v>7</v>
      </c>
    </row>
    <row r="178" spans="1:38" x14ac:dyDescent="0.35">
      <c r="A178" t="s">
        <v>1241</v>
      </c>
      <c r="B178">
        <v>320848.42219999991</v>
      </c>
      <c r="C178">
        <v>6392571.8465</v>
      </c>
      <c r="D178">
        <v>7453107</v>
      </c>
      <c r="E178" t="s">
        <v>1242</v>
      </c>
      <c r="F178" t="s">
        <v>1243</v>
      </c>
      <c r="G178">
        <v>113987</v>
      </c>
      <c r="H178">
        <v>2</v>
      </c>
      <c r="I178" t="s">
        <v>1244</v>
      </c>
      <c r="J178" t="s">
        <v>1245</v>
      </c>
      <c r="K178">
        <v>124069</v>
      </c>
      <c r="L178">
        <v>2</v>
      </c>
      <c r="M178">
        <v>10082</v>
      </c>
      <c r="N178" t="s">
        <v>1246</v>
      </c>
      <c r="O178" t="s">
        <v>1247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47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1</v>
      </c>
      <c r="AJ178">
        <v>6</v>
      </c>
      <c r="AK178">
        <v>12</v>
      </c>
      <c r="AL178">
        <v>6</v>
      </c>
    </row>
    <row r="179" spans="1:38" x14ac:dyDescent="0.35">
      <c r="A179" t="s">
        <v>1248</v>
      </c>
      <c r="B179">
        <v>326344.64549999958</v>
      </c>
      <c r="C179">
        <v>6404203.5003999993</v>
      </c>
      <c r="D179">
        <v>1966547</v>
      </c>
      <c r="E179" t="s">
        <v>1249</v>
      </c>
      <c r="F179" t="s">
        <v>1250</v>
      </c>
      <c r="G179">
        <v>113726</v>
      </c>
      <c r="H179">
        <v>2</v>
      </c>
      <c r="I179" t="s">
        <v>1251</v>
      </c>
      <c r="J179" t="s">
        <v>1252</v>
      </c>
      <c r="K179">
        <v>123824</v>
      </c>
      <c r="L179">
        <v>2</v>
      </c>
      <c r="M179">
        <v>10098</v>
      </c>
      <c r="N179" t="s">
        <v>1253</v>
      </c>
      <c r="O179" t="s">
        <v>1254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47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1</v>
      </c>
      <c r="AJ179">
        <v>6</v>
      </c>
      <c r="AK179">
        <v>12</v>
      </c>
      <c r="AL179">
        <v>6</v>
      </c>
    </row>
    <row r="180" spans="1:38" x14ac:dyDescent="0.35">
      <c r="A180" t="s">
        <v>1255</v>
      </c>
      <c r="B180">
        <v>312000.83249999961</v>
      </c>
      <c r="C180">
        <v>6403569.1883000014</v>
      </c>
      <c r="D180">
        <v>4925338</v>
      </c>
      <c r="E180" t="s">
        <v>1256</v>
      </c>
      <c r="F180" t="s">
        <v>1257</v>
      </c>
      <c r="G180">
        <v>115551</v>
      </c>
      <c r="H180">
        <v>2</v>
      </c>
      <c r="I180" t="s">
        <v>1258</v>
      </c>
      <c r="J180" t="s">
        <v>1259</v>
      </c>
      <c r="K180">
        <v>125649</v>
      </c>
      <c r="L180">
        <v>2</v>
      </c>
      <c r="M180">
        <v>10098</v>
      </c>
      <c r="N180" t="s">
        <v>1260</v>
      </c>
      <c r="O180" t="s">
        <v>1261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47</v>
      </c>
      <c r="AC180">
        <v>32</v>
      </c>
      <c r="AD180">
        <v>29151</v>
      </c>
      <c r="AE180">
        <v>39249</v>
      </c>
      <c r="AF180">
        <v>34</v>
      </c>
      <c r="AG180">
        <v>1</v>
      </c>
      <c r="AH180">
        <v>0.255</v>
      </c>
      <c r="AI180">
        <v>1</v>
      </c>
      <c r="AJ180">
        <v>6</v>
      </c>
      <c r="AK180">
        <v>13</v>
      </c>
      <c r="AL180">
        <v>7</v>
      </c>
    </row>
    <row r="181" spans="1:38" x14ac:dyDescent="0.35">
      <c r="A181" t="s">
        <v>1262</v>
      </c>
      <c r="B181">
        <v>314696.91959999967</v>
      </c>
      <c r="C181">
        <v>6402144.4923</v>
      </c>
      <c r="D181">
        <v>4744327</v>
      </c>
      <c r="E181" t="s">
        <v>1263</v>
      </c>
      <c r="F181" t="s">
        <v>1264</v>
      </c>
      <c r="G181">
        <v>127874</v>
      </c>
      <c r="H181">
        <v>2</v>
      </c>
      <c r="I181" t="s">
        <v>1265</v>
      </c>
      <c r="J181" t="s">
        <v>1266</v>
      </c>
      <c r="K181">
        <v>137979</v>
      </c>
      <c r="L181">
        <v>2</v>
      </c>
      <c r="M181">
        <v>10105</v>
      </c>
      <c r="N181" t="s">
        <v>1267</v>
      </c>
      <c r="O181" t="s">
        <v>1268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47</v>
      </c>
      <c r="AC181">
        <v>35</v>
      </c>
      <c r="AD181">
        <v>41474</v>
      </c>
      <c r="AE181">
        <v>51579</v>
      </c>
      <c r="AF181">
        <v>60</v>
      </c>
      <c r="AG181">
        <v>1</v>
      </c>
      <c r="AH181">
        <v>0.58099999999999996</v>
      </c>
      <c r="AI181">
        <v>1</v>
      </c>
      <c r="AJ181">
        <v>10</v>
      </c>
      <c r="AK181">
        <v>16</v>
      </c>
      <c r="AL181">
        <v>6</v>
      </c>
    </row>
    <row r="182" spans="1:38" x14ac:dyDescent="0.35">
      <c r="A182" t="s">
        <v>1269</v>
      </c>
      <c r="B182">
        <v>315741.91750000039</v>
      </c>
      <c r="C182">
        <v>6393993.8114999998</v>
      </c>
      <c r="D182">
        <v>4763062</v>
      </c>
      <c r="E182" t="s">
        <v>994</v>
      </c>
      <c r="F182" t="s">
        <v>995</v>
      </c>
      <c r="G182">
        <v>127743</v>
      </c>
      <c r="H182">
        <v>2</v>
      </c>
      <c r="I182" t="s">
        <v>1270</v>
      </c>
      <c r="J182" t="s">
        <v>1271</v>
      </c>
      <c r="K182">
        <v>137859</v>
      </c>
      <c r="L182">
        <v>2</v>
      </c>
      <c r="M182">
        <v>10116</v>
      </c>
      <c r="N182" t="s">
        <v>1272</v>
      </c>
      <c r="O182" t="s">
        <v>1273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47</v>
      </c>
      <c r="AC182">
        <v>35</v>
      </c>
      <c r="AD182">
        <v>41343</v>
      </c>
      <c r="AE182">
        <v>51459</v>
      </c>
      <c r="AF182">
        <v>34</v>
      </c>
      <c r="AG182">
        <v>1</v>
      </c>
      <c r="AH182">
        <v>0.253</v>
      </c>
      <c r="AI182">
        <v>1</v>
      </c>
      <c r="AJ182">
        <v>9</v>
      </c>
      <c r="AK182">
        <v>16</v>
      </c>
      <c r="AL182">
        <v>7</v>
      </c>
    </row>
    <row r="183" spans="1:38" x14ac:dyDescent="0.35">
      <c r="A183" t="s">
        <v>1274</v>
      </c>
      <c r="B183">
        <v>323204.48029999988</v>
      </c>
      <c r="C183">
        <v>6404510.0884000007</v>
      </c>
      <c r="D183">
        <v>2207564</v>
      </c>
      <c r="E183" t="s">
        <v>1275</v>
      </c>
      <c r="F183" t="s">
        <v>1276</v>
      </c>
      <c r="G183">
        <v>120482</v>
      </c>
      <c r="H183">
        <v>2</v>
      </c>
      <c r="I183" t="s">
        <v>1277</v>
      </c>
      <c r="J183" t="s">
        <v>1278</v>
      </c>
      <c r="K183">
        <v>130599</v>
      </c>
      <c r="L183">
        <v>2</v>
      </c>
      <c r="M183">
        <v>10117</v>
      </c>
      <c r="N183" t="s">
        <v>1279</v>
      </c>
      <c r="O183" t="s">
        <v>1280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47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1</v>
      </c>
      <c r="AJ183">
        <v>7</v>
      </c>
      <c r="AK183">
        <v>14</v>
      </c>
      <c r="AL183">
        <v>7</v>
      </c>
    </row>
    <row r="184" spans="1:38" x14ac:dyDescent="0.35">
      <c r="A184" t="s">
        <v>1281</v>
      </c>
      <c r="B184">
        <v>314689.44269999949</v>
      </c>
      <c r="C184">
        <v>6402227.7138999999</v>
      </c>
      <c r="D184">
        <v>1946924</v>
      </c>
      <c r="E184" t="s">
        <v>1282</v>
      </c>
      <c r="F184" t="s">
        <v>1283</v>
      </c>
      <c r="G184">
        <v>112629</v>
      </c>
      <c r="H184">
        <v>2</v>
      </c>
      <c r="I184" t="s">
        <v>1284</v>
      </c>
      <c r="J184" t="s">
        <v>1285</v>
      </c>
      <c r="K184">
        <v>122759</v>
      </c>
      <c r="L184">
        <v>2</v>
      </c>
      <c r="M184">
        <v>10130</v>
      </c>
      <c r="N184" t="s">
        <v>1286</v>
      </c>
      <c r="O184" t="s">
        <v>1287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47</v>
      </c>
      <c r="AC184">
        <v>31</v>
      </c>
      <c r="AD184">
        <v>26229</v>
      </c>
      <c r="AE184">
        <v>36359</v>
      </c>
      <c r="AF184">
        <v>52</v>
      </c>
      <c r="AG184">
        <v>1</v>
      </c>
      <c r="AH184">
        <v>0.52300000000000002</v>
      </c>
      <c r="AI184">
        <v>1</v>
      </c>
      <c r="AJ184">
        <v>5</v>
      </c>
      <c r="AK184">
        <v>12</v>
      </c>
      <c r="AL184">
        <v>7</v>
      </c>
    </row>
    <row r="185" spans="1:38" x14ac:dyDescent="0.35">
      <c r="A185" t="s">
        <v>1288</v>
      </c>
      <c r="B185">
        <v>317274.50999999978</v>
      </c>
      <c r="C185">
        <v>6394575.1827000007</v>
      </c>
      <c r="D185">
        <v>9491928</v>
      </c>
      <c r="E185" t="s">
        <v>1289</v>
      </c>
      <c r="F185" t="s">
        <v>1290</v>
      </c>
      <c r="G185">
        <v>148262</v>
      </c>
      <c r="H185">
        <v>2</v>
      </c>
      <c r="I185" t="s">
        <v>1291</v>
      </c>
      <c r="J185" t="s">
        <v>1292</v>
      </c>
      <c r="K185">
        <v>158397</v>
      </c>
      <c r="L185">
        <v>2</v>
      </c>
      <c r="M185">
        <v>10135</v>
      </c>
      <c r="N185" t="s">
        <v>1291</v>
      </c>
      <c r="O185" t="s">
        <v>1292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47</v>
      </c>
      <c r="AC185">
        <v>41</v>
      </c>
      <c r="AD185">
        <v>61862</v>
      </c>
      <c r="AE185">
        <v>71997</v>
      </c>
      <c r="AF185">
        <v>59.959349593495944</v>
      </c>
      <c r="AG185">
        <v>0.98399999999999999</v>
      </c>
      <c r="AH185">
        <v>0.48399999999999999</v>
      </c>
      <c r="AI185">
        <v>1</v>
      </c>
      <c r="AJ185">
        <v>15</v>
      </c>
      <c r="AK185">
        <v>22</v>
      </c>
      <c r="AL185">
        <v>7</v>
      </c>
    </row>
    <row r="186" spans="1:38" x14ac:dyDescent="0.35">
      <c r="A186" t="s">
        <v>1293</v>
      </c>
      <c r="B186">
        <v>320462.84310000017</v>
      </c>
      <c r="C186">
        <v>6399117.5479000006</v>
      </c>
      <c r="D186">
        <v>7428214</v>
      </c>
      <c r="E186" t="s">
        <v>1294</v>
      </c>
      <c r="F186" t="s">
        <v>1295</v>
      </c>
      <c r="G186">
        <v>118141</v>
      </c>
      <c r="H186">
        <v>2</v>
      </c>
      <c r="I186" t="s">
        <v>1296</v>
      </c>
      <c r="J186" t="s">
        <v>1297</v>
      </c>
      <c r="K186">
        <v>128278</v>
      </c>
      <c r="L186">
        <v>2</v>
      </c>
      <c r="M186">
        <v>10137</v>
      </c>
      <c r="N186" t="s">
        <v>1296</v>
      </c>
      <c r="O186" t="s">
        <v>1297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47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1</v>
      </c>
      <c r="AJ186">
        <v>7</v>
      </c>
      <c r="AK186">
        <v>14</v>
      </c>
      <c r="AL186">
        <v>7</v>
      </c>
    </row>
    <row r="187" spans="1:38" x14ac:dyDescent="0.35">
      <c r="A187" t="s">
        <v>1298</v>
      </c>
      <c r="B187">
        <v>319319.7882000003</v>
      </c>
      <c r="C187">
        <v>6399973.6948000006</v>
      </c>
      <c r="D187">
        <v>4648858</v>
      </c>
      <c r="E187" t="s">
        <v>1299</v>
      </c>
      <c r="F187" t="s">
        <v>1300</v>
      </c>
      <c r="G187">
        <v>127298</v>
      </c>
      <c r="H187">
        <v>2</v>
      </c>
      <c r="I187" t="s">
        <v>1301</v>
      </c>
      <c r="J187" t="s">
        <v>1302</v>
      </c>
      <c r="K187">
        <v>137449</v>
      </c>
      <c r="L187">
        <v>2</v>
      </c>
      <c r="M187">
        <v>10151</v>
      </c>
      <c r="N187" t="s">
        <v>1303</v>
      </c>
      <c r="O187" t="s">
        <v>1304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47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1</v>
      </c>
      <c r="AJ187">
        <v>9</v>
      </c>
      <c r="AK187">
        <v>16</v>
      </c>
      <c r="AL187">
        <v>7</v>
      </c>
    </row>
    <row r="188" spans="1:38" x14ac:dyDescent="0.35">
      <c r="A188" t="s">
        <v>1305</v>
      </c>
      <c r="B188">
        <v>320205.7834999999</v>
      </c>
      <c r="C188">
        <v>6400196.1170000006</v>
      </c>
      <c r="D188">
        <v>1839774</v>
      </c>
      <c r="E188" t="s">
        <v>1306</v>
      </c>
      <c r="F188" t="s">
        <v>1307</v>
      </c>
      <c r="G188">
        <v>118806</v>
      </c>
      <c r="H188">
        <v>2</v>
      </c>
      <c r="I188" t="s">
        <v>1308</v>
      </c>
      <c r="J188" t="s">
        <v>1309</v>
      </c>
      <c r="K188">
        <v>128969</v>
      </c>
      <c r="L188">
        <v>2</v>
      </c>
      <c r="M188">
        <v>10163</v>
      </c>
      <c r="N188" t="s">
        <v>1308</v>
      </c>
      <c r="O188" t="s">
        <v>1309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47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1</v>
      </c>
      <c r="AJ188">
        <v>7</v>
      </c>
      <c r="AK188">
        <v>14</v>
      </c>
      <c r="AL188">
        <v>7</v>
      </c>
    </row>
    <row r="189" spans="1:38" x14ac:dyDescent="0.35">
      <c r="A189" t="s">
        <v>42</v>
      </c>
      <c r="B189">
        <v>319152.16330000007</v>
      </c>
      <c r="C189">
        <v>6400297.2861000001</v>
      </c>
      <c r="D189">
        <v>7617759</v>
      </c>
      <c r="E189" t="s">
        <v>43</v>
      </c>
      <c r="F189" t="s">
        <v>44</v>
      </c>
      <c r="G189">
        <v>133665</v>
      </c>
      <c r="H189">
        <v>2</v>
      </c>
      <c r="I189" t="s">
        <v>45</v>
      </c>
      <c r="J189" t="s">
        <v>46</v>
      </c>
      <c r="K189">
        <v>143831</v>
      </c>
      <c r="L189">
        <v>2</v>
      </c>
      <c r="M189">
        <v>10166</v>
      </c>
      <c r="N189" t="s">
        <v>45</v>
      </c>
      <c r="O189" t="s">
        <v>46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47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1</v>
      </c>
      <c r="AJ189">
        <v>11</v>
      </c>
      <c r="AK189">
        <v>18</v>
      </c>
      <c r="AL189">
        <v>7</v>
      </c>
    </row>
    <row r="190" spans="1:38" x14ac:dyDescent="0.35">
      <c r="A190" t="s">
        <v>48</v>
      </c>
      <c r="B190">
        <v>319312.76699999999</v>
      </c>
      <c r="C190">
        <v>6401784.2268000003</v>
      </c>
      <c r="D190">
        <v>2060040</v>
      </c>
      <c r="E190" t="s">
        <v>49</v>
      </c>
      <c r="F190" t="s">
        <v>50</v>
      </c>
      <c r="G190">
        <v>120588</v>
      </c>
      <c r="H190">
        <v>2</v>
      </c>
      <c r="I190" t="s">
        <v>51</v>
      </c>
      <c r="J190" t="s">
        <v>52</v>
      </c>
      <c r="K190">
        <v>130754</v>
      </c>
      <c r="L190">
        <v>2</v>
      </c>
      <c r="M190">
        <v>10166</v>
      </c>
      <c r="N190" t="s">
        <v>53</v>
      </c>
      <c r="O190" t="s">
        <v>54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47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1</v>
      </c>
      <c r="AJ190">
        <v>7</v>
      </c>
      <c r="AK190">
        <v>14</v>
      </c>
      <c r="AL190">
        <v>7</v>
      </c>
    </row>
    <row r="191" spans="1:38" x14ac:dyDescent="0.35">
      <c r="A191" t="s">
        <v>55</v>
      </c>
      <c r="B191">
        <v>312994.43520000018</v>
      </c>
      <c r="C191">
        <v>6402813.9954000004</v>
      </c>
      <c r="D191">
        <v>8121085</v>
      </c>
      <c r="E191" t="s">
        <v>56</v>
      </c>
      <c r="F191" t="s">
        <v>57</v>
      </c>
      <c r="G191">
        <v>110481</v>
      </c>
      <c r="H191">
        <v>2</v>
      </c>
      <c r="I191" t="s">
        <v>58</v>
      </c>
      <c r="J191" t="s">
        <v>59</v>
      </c>
      <c r="K191">
        <v>120654</v>
      </c>
      <c r="L191">
        <v>2</v>
      </c>
      <c r="M191">
        <v>10173</v>
      </c>
      <c r="N191" t="s">
        <v>60</v>
      </c>
      <c r="O191" t="s">
        <v>61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47</v>
      </c>
      <c r="AC191">
        <v>30</v>
      </c>
      <c r="AD191">
        <v>24081</v>
      </c>
      <c r="AE191">
        <v>34254</v>
      </c>
      <c r="AF191">
        <v>42</v>
      </c>
      <c r="AG191">
        <v>1</v>
      </c>
      <c r="AH191">
        <v>0.38100000000000001</v>
      </c>
      <c r="AI191">
        <v>1</v>
      </c>
      <c r="AJ191">
        <v>5</v>
      </c>
      <c r="AK191">
        <v>12</v>
      </c>
      <c r="AL191">
        <v>7</v>
      </c>
    </row>
    <row r="192" spans="1:38" x14ac:dyDescent="0.35">
      <c r="A192" t="s">
        <v>62</v>
      </c>
      <c r="B192">
        <v>319885.11079999991</v>
      </c>
      <c r="C192">
        <v>6401133.8363000005</v>
      </c>
      <c r="D192">
        <v>1876107</v>
      </c>
      <c r="E192" t="s">
        <v>63</v>
      </c>
      <c r="F192" t="s">
        <v>64</v>
      </c>
      <c r="G192">
        <v>118246</v>
      </c>
      <c r="H192">
        <v>2</v>
      </c>
      <c r="I192" t="s">
        <v>65</v>
      </c>
      <c r="J192" t="s">
        <v>66</v>
      </c>
      <c r="K192">
        <v>128429</v>
      </c>
      <c r="L192">
        <v>2</v>
      </c>
      <c r="M192">
        <v>10183</v>
      </c>
      <c r="N192" t="s">
        <v>67</v>
      </c>
      <c r="O192" t="s">
        <v>68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47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1</v>
      </c>
      <c r="AJ192">
        <v>7</v>
      </c>
      <c r="AK192">
        <v>14</v>
      </c>
      <c r="AL192">
        <v>7</v>
      </c>
    </row>
    <row r="193" spans="1:38" x14ac:dyDescent="0.35">
      <c r="A193" t="s">
        <v>69</v>
      </c>
      <c r="B193">
        <v>318908.07650000037</v>
      </c>
      <c r="C193">
        <v>6398672.4682999998</v>
      </c>
      <c r="D193">
        <v>1838297</v>
      </c>
      <c r="E193" t="s">
        <v>70</v>
      </c>
      <c r="F193" t="s">
        <v>71</v>
      </c>
      <c r="G193">
        <v>132541</v>
      </c>
      <c r="H193">
        <v>2</v>
      </c>
      <c r="I193" t="s">
        <v>72</v>
      </c>
      <c r="J193" t="s">
        <v>73</v>
      </c>
      <c r="K193">
        <v>142729</v>
      </c>
      <c r="L193">
        <v>2</v>
      </c>
      <c r="M193">
        <v>10188</v>
      </c>
      <c r="N193" t="s">
        <v>74</v>
      </c>
      <c r="O193" t="s">
        <v>75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47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1</v>
      </c>
      <c r="AJ193">
        <v>11</v>
      </c>
      <c r="AK193">
        <v>18</v>
      </c>
      <c r="AL193">
        <v>7</v>
      </c>
    </row>
    <row r="194" spans="1:38" x14ac:dyDescent="0.35">
      <c r="A194" t="s">
        <v>76</v>
      </c>
      <c r="B194">
        <v>319090.91619999992</v>
      </c>
      <c r="C194">
        <v>6399915.9703000002</v>
      </c>
      <c r="D194">
        <v>1938592</v>
      </c>
      <c r="E194" t="s">
        <v>77</v>
      </c>
      <c r="F194" t="s">
        <v>78</v>
      </c>
      <c r="G194">
        <v>115302</v>
      </c>
      <c r="H194">
        <v>2</v>
      </c>
      <c r="I194" t="s">
        <v>79</v>
      </c>
      <c r="J194" t="s">
        <v>80</v>
      </c>
      <c r="K194">
        <v>125509</v>
      </c>
      <c r="L194">
        <v>2</v>
      </c>
      <c r="M194">
        <v>10207</v>
      </c>
      <c r="N194" t="s">
        <v>81</v>
      </c>
      <c r="O194" t="s">
        <v>82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47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1</v>
      </c>
      <c r="AJ194">
        <v>6</v>
      </c>
      <c r="AK194">
        <v>13</v>
      </c>
      <c r="AL194">
        <v>7</v>
      </c>
    </row>
    <row r="195" spans="1:38" x14ac:dyDescent="0.35">
      <c r="A195" t="s">
        <v>83</v>
      </c>
      <c r="B195">
        <v>322376.56309999991</v>
      </c>
      <c r="C195">
        <v>6400563.1593999993</v>
      </c>
      <c r="D195">
        <v>4646873</v>
      </c>
      <c r="E195" t="s">
        <v>84</v>
      </c>
      <c r="F195" t="s">
        <v>85</v>
      </c>
      <c r="G195">
        <v>165190</v>
      </c>
      <c r="H195">
        <v>2</v>
      </c>
      <c r="I195" t="s">
        <v>86</v>
      </c>
      <c r="J195" t="s">
        <v>87</v>
      </c>
      <c r="K195">
        <v>175404</v>
      </c>
      <c r="L195">
        <v>3</v>
      </c>
      <c r="M195">
        <v>10214</v>
      </c>
      <c r="N195" t="s">
        <v>88</v>
      </c>
      <c r="O195" t="s">
        <v>89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90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1</v>
      </c>
      <c r="AJ195">
        <v>20</v>
      </c>
      <c r="AK195">
        <v>24</v>
      </c>
      <c r="AL195">
        <v>4</v>
      </c>
    </row>
    <row r="196" spans="1:38" x14ac:dyDescent="0.35">
      <c r="A196" t="s">
        <v>91</v>
      </c>
      <c r="B196">
        <v>319816.12600000022</v>
      </c>
      <c r="C196">
        <v>6397769.9682</v>
      </c>
      <c r="D196">
        <v>1879008</v>
      </c>
      <c r="E196" t="s">
        <v>92</v>
      </c>
      <c r="F196" t="s">
        <v>93</v>
      </c>
      <c r="G196">
        <v>137374</v>
      </c>
      <c r="H196">
        <v>2</v>
      </c>
      <c r="I196" t="s">
        <v>94</v>
      </c>
      <c r="J196" t="s">
        <v>95</v>
      </c>
      <c r="K196">
        <v>147598</v>
      </c>
      <c r="L196">
        <v>2</v>
      </c>
      <c r="M196">
        <v>10224</v>
      </c>
      <c r="N196" t="s">
        <v>94</v>
      </c>
      <c r="O196" t="s">
        <v>95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47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1</v>
      </c>
      <c r="AJ196">
        <v>12</v>
      </c>
      <c r="AK196">
        <v>19</v>
      </c>
      <c r="AL196">
        <v>7</v>
      </c>
    </row>
    <row r="197" spans="1:38" x14ac:dyDescent="0.35">
      <c r="A197" t="s">
        <v>96</v>
      </c>
      <c r="B197">
        <v>328220.13650000002</v>
      </c>
      <c r="C197">
        <v>6393236.5179999992</v>
      </c>
      <c r="D197">
        <v>2129185</v>
      </c>
      <c r="E197" t="s">
        <v>97</v>
      </c>
      <c r="F197" t="s">
        <v>98</v>
      </c>
      <c r="G197">
        <v>164075</v>
      </c>
      <c r="H197">
        <v>2</v>
      </c>
      <c r="I197" t="s">
        <v>99</v>
      </c>
      <c r="J197" t="s">
        <v>87</v>
      </c>
      <c r="K197">
        <v>174304</v>
      </c>
      <c r="L197">
        <v>3</v>
      </c>
      <c r="M197">
        <v>10229</v>
      </c>
      <c r="N197" t="s">
        <v>100</v>
      </c>
      <c r="O197" t="s">
        <v>101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90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1</v>
      </c>
      <c r="AJ197">
        <v>20</v>
      </c>
      <c r="AK197">
        <v>24</v>
      </c>
      <c r="AL197">
        <v>4</v>
      </c>
    </row>
    <row r="198" spans="1:38" x14ac:dyDescent="0.35">
      <c r="A198" t="s">
        <v>102</v>
      </c>
      <c r="B198">
        <v>321413.37619999982</v>
      </c>
      <c r="C198">
        <v>6397099.1647999994</v>
      </c>
      <c r="D198">
        <v>9513848</v>
      </c>
      <c r="E198" t="s">
        <v>103</v>
      </c>
      <c r="F198" t="s">
        <v>104</v>
      </c>
      <c r="G198">
        <v>116414</v>
      </c>
      <c r="H198">
        <v>2</v>
      </c>
      <c r="I198" t="s">
        <v>105</v>
      </c>
      <c r="J198" t="s">
        <v>106</v>
      </c>
      <c r="K198">
        <v>126644</v>
      </c>
      <c r="L198">
        <v>2</v>
      </c>
      <c r="M198">
        <v>10230</v>
      </c>
      <c r="N198" t="s">
        <v>107</v>
      </c>
      <c r="O198" t="s">
        <v>108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47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1</v>
      </c>
      <c r="AJ198">
        <v>6</v>
      </c>
      <c r="AK198">
        <v>13</v>
      </c>
      <c r="AL198">
        <v>7</v>
      </c>
    </row>
    <row r="199" spans="1:38" x14ac:dyDescent="0.35">
      <c r="A199" t="s">
        <v>109</v>
      </c>
      <c r="B199">
        <v>316562.9458999997</v>
      </c>
      <c r="C199">
        <v>6395176.4386</v>
      </c>
      <c r="D199">
        <v>4771738</v>
      </c>
      <c r="E199" t="s">
        <v>110</v>
      </c>
      <c r="F199" t="s">
        <v>111</v>
      </c>
      <c r="G199">
        <v>111468</v>
      </c>
      <c r="H199">
        <v>2</v>
      </c>
      <c r="I199" t="s">
        <v>112</v>
      </c>
      <c r="J199" t="s">
        <v>113</v>
      </c>
      <c r="K199">
        <v>121724</v>
      </c>
      <c r="L199">
        <v>2</v>
      </c>
      <c r="M199">
        <v>10256</v>
      </c>
      <c r="N199" t="s">
        <v>114</v>
      </c>
      <c r="O199" t="s">
        <v>115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47</v>
      </c>
      <c r="AC199">
        <v>30</v>
      </c>
      <c r="AD199">
        <v>25068</v>
      </c>
      <c r="AE199">
        <v>35324</v>
      </c>
      <c r="AF199">
        <v>42</v>
      </c>
      <c r="AG199">
        <v>1</v>
      </c>
      <c r="AH199">
        <v>0.374</v>
      </c>
      <c r="AI199">
        <v>1</v>
      </c>
      <c r="AJ199">
        <v>5</v>
      </c>
      <c r="AK199">
        <v>12</v>
      </c>
      <c r="AL199">
        <v>7</v>
      </c>
    </row>
    <row r="200" spans="1:38" x14ac:dyDescent="0.35">
      <c r="A200" t="s">
        <v>116</v>
      </c>
      <c r="B200">
        <v>320395.76559999958</v>
      </c>
      <c r="C200">
        <v>6400912.9838999994</v>
      </c>
      <c r="D200">
        <v>5412813</v>
      </c>
      <c r="E200" t="s">
        <v>117</v>
      </c>
      <c r="F200" t="s">
        <v>118</v>
      </c>
      <c r="G200">
        <v>120250</v>
      </c>
      <c r="H200">
        <v>2</v>
      </c>
      <c r="I200" t="s">
        <v>119</v>
      </c>
      <c r="J200" t="s">
        <v>120</v>
      </c>
      <c r="K200">
        <v>130509</v>
      </c>
      <c r="L200">
        <v>2</v>
      </c>
      <c r="M200">
        <v>10259</v>
      </c>
      <c r="N200" t="s">
        <v>121</v>
      </c>
      <c r="O200" t="s">
        <v>122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47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1</v>
      </c>
      <c r="AJ200">
        <v>7</v>
      </c>
      <c r="AK200">
        <v>14</v>
      </c>
      <c r="AL200">
        <v>7</v>
      </c>
    </row>
    <row r="201" spans="1:38" x14ac:dyDescent="0.35">
      <c r="A201" t="s">
        <v>123</v>
      </c>
      <c r="B201">
        <v>316124.87569999968</v>
      </c>
      <c r="C201">
        <v>6395006.2068000007</v>
      </c>
      <c r="D201">
        <v>2129003</v>
      </c>
      <c r="E201" t="s">
        <v>124</v>
      </c>
      <c r="F201" t="s">
        <v>125</v>
      </c>
      <c r="G201">
        <v>110347</v>
      </c>
      <c r="H201">
        <v>2</v>
      </c>
      <c r="I201" t="s">
        <v>126</v>
      </c>
      <c r="J201" t="s">
        <v>127</v>
      </c>
      <c r="K201">
        <v>120624</v>
      </c>
      <c r="L201">
        <v>2</v>
      </c>
      <c r="M201">
        <v>10277</v>
      </c>
      <c r="N201" t="s">
        <v>128</v>
      </c>
      <c r="O201" t="s">
        <v>129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47</v>
      </c>
      <c r="AC201">
        <v>30</v>
      </c>
      <c r="AD201">
        <v>23947</v>
      </c>
      <c r="AE201">
        <v>34224</v>
      </c>
      <c r="AF201">
        <v>52</v>
      </c>
      <c r="AG201">
        <v>1</v>
      </c>
      <c r="AH201">
        <v>0.51500000000000001</v>
      </c>
      <c r="AI201">
        <v>1</v>
      </c>
      <c r="AJ201">
        <v>5</v>
      </c>
      <c r="AK201">
        <v>12</v>
      </c>
      <c r="AL201">
        <v>7</v>
      </c>
    </row>
    <row r="202" spans="1:38" x14ac:dyDescent="0.35">
      <c r="A202" t="s">
        <v>130</v>
      </c>
      <c r="B202">
        <v>312896.00650000008</v>
      </c>
      <c r="C202">
        <v>6402848.2449999992</v>
      </c>
      <c r="D202">
        <v>9447416</v>
      </c>
      <c r="E202" t="s">
        <v>131</v>
      </c>
      <c r="F202" t="s">
        <v>132</v>
      </c>
      <c r="G202">
        <v>117985</v>
      </c>
      <c r="H202">
        <v>2</v>
      </c>
      <c r="I202" t="s">
        <v>133</v>
      </c>
      <c r="J202" t="s">
        <v>134</v>
      </c>
      <c r="K202">
        <v>128269</v>
      </c>
      <c r="L202">
        <v>2</v>
      </c>
      <c r="M202">
        <v>10284</v>
      </c>
      <c r="N202" t="s">
        <v>135</v>
      </c>
      <c r="O202" t="s">
        <v>136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47</v>
      </c>
      <c r="AC202">
        <v>32</v>
      </c>
      <c r="AD202">
        <v>31585</v>
      </c>
      <c r="AE202">
        <v>41869</v>
      </c>
      <c r="AF202">
        <v>34</v>
      </c>
      <c r="AG202">
        <v>1</v>
      </c>
      <c r="AH202">
        <v>0.23799999999999999</v>
      </c>
      <c r="AI202">
        <v>1</v>
      </c>
      <c r="AJ202">
        <v>7</v>
      </c>
      <c r="AK202">
        <v>14</v>
      </c>
      <c r="AL202">
        <v>7</v>
      </c>
    </row>
    <row r="203" spans="1:38" x14ac:dyDescent="0.35">
      <c r="A203" t="s">
        <v>137</v>
      </c>
      <c r="B203">
        <v>317993.02199999988</v>
      </c>
      <c r="C203">
        <v>6403842.4483000003</v>
      </c>
      <c r="D203">
        <v>10050104</v>
      </c>
      <c r="E203" t="s">
        <v>138</v>
      </c>
      <c r="F203" t="s">
        <v>139</v>
      </c>
      <c r="G203">
        <v>119991</v>
      </c>
      <c r="H203">
        <v>2</v>
      </c>
      <c r="I203" t="s">
        <v>140</v>
      </c>
      <c r="J203" t="s">
        <v>141</v>
      </c>
      <c r="K203">
        <v>130284</v>
      </c>
      <c r="L203">
        <v>2</v>
      </c>
      <c r="M203">
        <v>10293</v>
      </c>
      <c r="N203" t="s">
        <v>142</v>
      </c>
      <c r="O203" t="s">
        <v>143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47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1</v>
      </c>
      <c r="AJ203">
        <v>7</v>
      </c>
      <c r="AK203">
        <v>14</v>
      </c>
      <c r="AL203">
        <v>7</v>
      </c>
    </row>
    <row r="204" spans="1:38" x14ac:dyDescent="0.35">
      <c r="A204" t="s">
        <v>144</v>
      </c>
      <c r="B204">
        <v>312721.8574000001</v>
      </c>
      <c r="C204">
        <v>6399430.3206999991</v>
      </c>
      <c r="D204">
        <v>2325525</v>
      </c>
      <c r="E204" t="s">
        <v>145</v>
      </c>
      <c r="F204" t="s">
        <v>146</v>
      </c>
      <c r="G204">
        <v>112693</v>
      </c>
      <c r="H204">
        <v>2</v>
      </c>
      <c r="I204" t="s">
        <v>147</v>
      </c>
      <c r="J204" t="s">
        <v>148</v>
      </c>
      <c r="K204">
        <v>122989</v>
      </c>
      <c r="L204">
        <v>2</v>
      </c>
      <c r="M204">
        <v>10296</v>
      </c>
      <c r="N204" t="s">
        <v>149</v>
      </c>
      <c r="O204" t="s">
        <v>150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47</v>
      </c>
      <c r="AC204">
        <v>31</v>
      </c>
      <c r="AD204">
        <v>26293</v>
      </c>
      <c r="AE204">
        <v>36589</v>
      </c>
      <c r="AF204">
        <v>52</v>
      </c>
      <c r="AG204">
        <v>1</v>
      </c>
      <c r="AH204">
        <v>0.51400000000000001</v>
      </c>
      <c r="AI204">
        <v>1</v>
      </c>
      <c r="AJ204">
        <v>5</v>
      </c>
      <c r="AK204">
        <v>12</v>
      </c>
      <c r="AL204">
        <v>7</v>
      </c>
    </row>
    <row r="205" spans="1:38" x14ac:dyDescent="0.35">
      <c r="A205" t="s">
        <v>151</v>
      </c>
      <c r="B205">
        <v>325746.41119999997</v>
      </c>
      <c r="C205">
        <v>6389588.4927999992</v>
      </c>
      <c r="D205">
        <v>9488749</v>
      </c>
      <c r="E205" t="s">
        <v>152</v>
      </c>
      <c r="F205" t="s">
        <v>153</v>
      </c>
      <c r="G205">
        <v>118315</v>
      </c>
      <c r="H205">
        <v>2</v>
      </c>
      <c r="I205" t="s">
        <v>154</v>
      </c>
      <c r="J205" t="s">
        <v>155</v>
      </c>
      <c r="K205">
        <v>128624</v>
      </c>
      <c r="L205">
        <v>2</v>
      </c>
      <c r="M205">
        <v>10309</v>
      </c>
      <c r="N205" t="s">
        <v>156</v>
      </c>
      <c r="O205" t="s">
        <v>157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47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1</v>
      </c>
      <c r="AJ205">
        <v>7</v>
      </c>
      <c r="AK205">
        <v>14</v>
      </c>
      <c r="AL205">
        <v>7</v>
      </c>
    </row>
    <row r="206" spans="1:38" x14ac:dyDescent="0.35">
      <c r="A206" t="s">
        <v>158</v>
      </c>
      <c r="B206">
        <v>320004.26319999993</v>
      </c>
      <c r="C206">
        <v>6401205.5168999992</v>
      </c>
      <c r="D206">
        <v>2002317</v>
      </c>
      <c r="E206" t="s">
        <v>159</v>
      </c>
      <c r="F206" t="s">
        <v>160</v>
      </c>
      <c r="G206">
        <v>107731</v>
      </c>
      <c r="H206">
        <v>2</v>
      </c>
      <c r="I206" t="s">
        <v>161</v>
      </c>
      <c r="J206" t="s">
        <v>162</v>
      </c>
      <c r="K206">
        <v>118059</v>
      </c>
      <c r="L206">
        <v>2</v>
      </c>
      <c r="M206">
        <v>10328</v>
      </c>
      <c r="N206" t="s">
        <v>163</v>
      </c>
      <c r="O206" t="s">
        <v>164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47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1</v>
      </c>
      <c r="AJ206">
        <v>4</v>
      </c>
      <c r="AK206">
        <v>11</v>
      </c>
      <c r="AL206">
        <v>7</v>
      </c>
    </row>
    <row r="207" spans="1:38" x14ac:dyDescent="0.35">
      <c r="A207" t="s">
        <v>165</v>
      </c>
      <c r="B207">
        <v>317547.52749999991</v>
      </c>
      <c r="C207">
        <v>6395174.8935000002</v>
      </c>
      <c r="D207">
        <v>9534794</v>
      </c>
      <c r="E207" t="s">
        <v>166</v>
      </c>
      <c r="F207" t="s">
        <v>167</v>
      </c>
      <c r="G207">
        <v>118518</v>
      </c>
      <c r="H207">
        <v>2</v>
      </c>
      <c r="I207" t="s">
        <v>168</v>
      </c>
      <c r="J207" t="s">
        <v>169</v>
      </c>
      <c r="K207">
        <v>128869</v>
      </c>
      <c r="L207">
        <v>2</v>
      </c>
      <c r="M207">
        <v>10351</v>
      </c>
      <c r="N207" t="s">
        <v>170</v>
      </c>
      <c r="O207" t="s">
        <v>171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47</v>
      </c>
      <c r="AC207">
        <v>32</v>
      </c>
      <c r="AD207">
        <v>32118</v>
      </c>
      <c r="AE207">
        <v>42469</v>
      </c>
      <c r="AF207">
        <v>75</v>
      </c>
      <c r="AG207">
        <v>1</v>
      </c>
      <c r="AH207">
        <v>0.63</v>
      </c>
      <c r="AI207">
        <v>1</v>
      </c>
      <c r="AJ207">
        <v>7</v>
      </c>
      <c r="AK207">
        <v>14</v>
      </c>
      <c r="AL207">
        <v>7</v>
      </c>
    </row>
    <row r="208" spans="1:38" x14ac:dyDescent="0.35">
      <c r="A208" t="s">
        <v>172</v>
      </c>
      <c r="B208">
        <v>312976.1102</v>
      </c>
      <c r="C208">
        <v>6403380.1893999996</v>
      </c>
      <c r="D208">
        <v>9458980</v>
      </c>
      <c r="E208" t="s">
        <v>173</v>
      </c>
      <c r="F208" t="s">
        <v>174</v>
      </c>
      <c r="G208">
        <v>118958</v>
      </c>
      <c r="H208">
        <v>2</v>
      </c>
      <c r="I208" t="s">
        <v>175</v>
      </c>
      <c r="J208" t="s">
        <v>176</v>
      </c>
      <c r="K208">
        <v>129309</v>
      </c>
      <c r="L208">
        <v>2</v>
      </c>
      <c r="M208">
        <v>10351</v>
      </c>
      <c r="N208" t="s">
        <v>177</v>
      </c>
      <c r="O208" t="s">
        <v>178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47</v>
      </c>
      <c r="AC208">
        <v>33</v>
      </c>
      <c r="AD208">
        <v>32558</v>
      </c>
      <c r="AE208">
        <v>42909</v>
      </c>
      <c r="AF208">
        <v>60</v>
      </c>
      <c r="AG208">
        <v>1</v>
      </c>
      <c r="AH208">
        <v>0.56899999999999995</v>
      </c>
      <c r="AI208">
        <v>1</v>
      </c>
      <c r="AJ208">
        <v>7</v>
      </c>
      <c r="AK208">
        <v>14</v>
      </c>
      <c r="AL208">
        <v>7</v>
      </c>
    </row>
    <row r="209" spans="1:38" x14ac:dyDescent="0.35">
      <c r="A209" t="s">
        <v>179</v>
      </c>
      <c r="B209">
        <v>315187.31910000002</v>
      </c>
      <c r="C209">
        <v>6402362.2586000003</v>
      </c>
      <c r="D209">
        <v>4792786</v>
      </c>
      <c r="E209" t="s">
        <v>180</v>
      </c>
      <c r="F209" t="s">
        <v>181</v>
      </c>
      <c r="G209">
        <v>114155</v>
      </c>
      <c r="H209">
        <v>2</v>
      </c>
      <c r="I209" t="s">
        <v>182</v>
      </c>
      <c r="J209" t="s">
        <v>183</v>
      </c>
      <c r="K209">
        <v>124514</v>
      </c>
      <c r="L209">
        <v>2</v>
      </c>
      <c r="M209">
        <v>10359</v>
      </c>
      <c r="N209" t="s">
        <v>184</v>
      </c>
      <c r="O209" t="s">
        <v>185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47</v>
      </c>
      <c r="AC209">
        <v>31</v>
      </c>
      <c r="AD209">
        <v>27755</v>
      </c>
      <c r="AE209">
        <v>38114</v>
      </c>
      <c r="AF209">
        <v>42</v>
      </c>
      <c r="AG209">
        <v>1</v>
      </c>
      <c r="AH209">
        <v>0.36699999999999999</v>
      </c>
      <c r="AI209">
        <v>1</v>
      </c>
      <c r="AJ209">
        <v>6</v>
      </c>
      <c r="AK209">
        <v>13</v>
      </c>
      <c r="AL209">
        <v>7</v>
      </c>
    </row>
    <row r="210" spans="1:38" x14ac:dyDescent="0.35">
      <c r="A210" t="s">
        <v>186</v>
      </c>
      <c r="B210">
        <v>319864.38729999959</v>
      </c>
      <c r="C210">
        <v>6401040.5015999991</v>
      </c>
      <c r="D210">
        <v>2080694</v>
      </c>
      <c r="E210" t="s">
        <v>187</v>
      </c>
      <c r="F210" t="s">
        <v>188</v>
      </c>
      <c r="G210">
        <v>115239</v>
      </c>
      <c r="H210">
        <v>2</v>
      </c>
      <c r="I210" t="s">
        <v>189</v>
      </c>
      <c r="J210" t="s">
        <v>190</v>
      </c>
      <c r="K210">
        <v>125609</v>
      </c>
      <c r="L210">
        <v>2</v>
      </c>
      <c r="M210">
        <v>10370</v>
      </c>
      <c r="N210" t="s">
        <v>191</v>
      </c>
      <c r="O210" t="s">
        <v>192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47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1</v>
      </c>
      <c r="AJ210">
        <v>6</v>
      </c>
      <c r="AK210">
        <v>13</v>
      </c>
      <c r="AL210">
        <v>7</v>
      </c>
    </row>
    <row r="211" spans="1:38" x14ac:dyDescent="0.35">
      <c r="A211" t="s">
        <v>193</v>
      </c>
      <c r="B211">
        <v>308598.90830000018</v>
      </c>
      <c r="C211">
        <v>6404152.4313999992</v>
      </c>
      <c r="D211">
        <v>1942028</v>
      </c>
      <c r="E211" t="s">
        <v>194</v>
      </c>
      <c r="F211" t="s">
        <v>195</v>
      </c>
      <c r="G211">
        <v>120665</v>
      </c>
      <c r="H211">
        <v>2</v>
      </c>
      <c r="I211" t="s">
        <v>196</v>
      </c>
      <c r="J211" t="s">
        <v>197</v>
      </c>
      <c r="K211">
        <v>131044</v>
      </c>
      <c r="L211">
        <v>2</v>
      </c>
      <c r="M211">
        <v>10379</v>
      </c>
      <c r="N211" t="s">
        <v>198</v>
      </c>
      <c r="O211" t="s">
        <v>199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47</v>
      </c>
      <c r="AC211">
        <v>33</v>
      </c>
      <c r="AD211">
        <v>34265</v>
      </c>
      <c r="AE211">
        <v>44644</v>
      </c>
      <c r="AF211">
        <v>52</v>
      </c>
      <c r="AG211">
        <v>1</v>
      </c>
      <c r="AH211">
        <v>0.50900000000000001</v>
      </c>
      <c r="AI211">
        <v>1</v>
      </c>
      <c r="AJ211">
        <v>8</v>
      </c>
      <c r="AK211">
        <v>14</v>
      </c>
      <c r="AL211">
        <v>6</v>
      </c>
    </row>
    <row r="212" spans="1:38" x14ac:dyDescent="0.35">
      <c r="A212" t="s">
        <v>200</v>
      </c>
      <c r="B212">
        <v>316082.68450000038</v>
      </c>
      <c r="C212">
        <v>6393761.3249999993</v>
      </c>
      <c r="D212">
        <v>4921947</v>
      </c>
      <c r="E212" t="s">
        <v>201</v>
      </c>
      <c r="F212" t="s">
        <v>202</v>
      </c>
      <c r="G212">
        <v>108458</v>
      </c>
      <c r="H212">
        <v>2</v>
      </c>
      <c r="I212" t="s">
        <v>203</v>
      </c>
      <c r="J212" t="s">
        <v>204</v>
      </c>
      <c r="K212">
        <v>118854</v>
      </c>
      <c r="L212">
        <v>2</v>
      </c>
      <c r="M212">
        <v>10396</v>
      </c>
      <c r="N212" t="s">
        <v>205</v>
      </c>
      <c r="O212" t="s">
        <v>206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47</v>
      </c>
      <c r="AC212">
        <v>30</v>
      </c>
      <c r="AD212">
        <v>22058</v>
      </c>
      <c r="AE212">
        <v>32454</v>
      </c>
      <c r="AF212">
        <v>42</v>
      </c>
      <c r="AG212">
        <v>1</v>
      </c>
      <c r="AH212">
        <v>0.36399999999999999</v>
      </c>
      <c r="AI212">
        <v>1</v>
      </c>
      <c r="AJ212">
        <v>4</v>
      </c>
      <c r="AK212">
        <v>11</v>
      </c>
      <c r="AL212">
        <v>7</v>
      </c>
    </row>
    <row r="213" spans="1:38" x14ac:dyDescent="0.35">
      <c r="A213" t="s">
        <v>207</v>
      </c>
      <c r="B213">
        <v>316014.17250000028</v>
      </c>
      <c r="C213">
        <v>6398157.0814999994</v>
      </c>
      <c r="D213">
        <v>7465779</v>
      </c>
      <c r="E213" t="s">
        <v>208</v>
      </c>
      <c r="F213" t="s">
        <v>209</v>
      </c>
      <c r="G213">
        <v>112415</v>
      </c>
      <c r="H213">
        <v>2</v>
      </c>
      <c r="I213" t="s">
        <v>210</v>
      </c>
      <c r="J213" t="s">
        <v>211</v>
      </c>
      <c r="K213">
        <v>122824</v>
      </c>
      <c r="L213">
        <v>2</v>
      </c>
      <c r="M213">
        <v>10409</v>
      </c>
      <c r="N213" t="s">
        <v>212</v>
      </c>
      <c r="O213" t="s">
        <v>213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47</v>
      </c>
      <c r="AC213">
        <v>31</v>
      </c>
      <c r="AD213">
        <v>26015</v>
      </c>
      <c r="AE213">
        <v>36424</v>
      </c>
      <c r="AF213">
        <v>34</v>
      </c>
      <c r="AG213">
        <v>1</v>
      </c>
      <c r="AH213">
        <v>0.22700000000000001</v>
      </c>
      <c r="AI213">
        <v>1</v>
      </c>
      <c r="AJ213">
        <v>5</v>
      </c>
      <c r="AK213">
        <v>12</v>
      </c>
      <c r="AL213">
        <v>7</v>
      </c>
    </row>
    <row r="214" spans="1:38" x14ac:dyDescent="0.35">
      <c r="A214" t="s">
        <v>214</v>
      </c>
      <c r="B214">
        <v>320780.6353000002</v>
      </c>
      <c r="C214">
        <v>6404696.5775000006</v>
      </c>
      <c r="D214">
        <v>8273860</v>
      </c>
      <c r="E214" t="s">
        <v>215</v>
      </c>
      <c r="F214" t="s">
        <v>216</v>
      </c>
      <c r="G214">
        <v>110078</v>
      </c>
      <c r="H214">
        <v>2</v>
      </c>
      <c r="I214" t="s">
        <v>217</v>
      </c>
      <c r="J214" t="s">
        <v>218</v>
      </c>
      <c r="K214">
        <v>120494</v>
      </c>
      <c r="L214">
        <v>2</v>
      </c>
      <c r="M214">
        <v>10416</v>
      </c>
      <c r="N214" t="s">
        <v>219</v>
      </c>
      <c r="O214" t="s">
        <v>220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47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1</v>
      </c>
      <c r="AJ214">
        <v>5</v>
      </c>
      <c r="AK214">
        <v>11</v>
      </c>
      <c r="AL214">
        <v>6</v>
      </c>
    </row>
    <row r="215" spans="1:38" x14ac:dyDescent="0.35">
      <c r="A215" t="s">
        <v>221</v>
      </c>
      <c r="B215">
        <v>315052.91889999987</v>
      </c>
      <c r="C215">
        <v>6396928.8142000008</v>
      </c>
      <c r="D215">
        <v>4922092</v>
      </c>
      <c r="E215" t="s">
        <v>222</v>
      </c>
      <c r="F215" t="s">
        <v>223</v>
      </c>
      <c r="G215">
        <v>133296</v>
      </c>
      <c r="H215">
        <v>2</v>
      </c>
      <c r="I215" t="s">
        <v>224</v>
      </c>
      <c r="J215" t="s">
        <v>225</v>
      </c>
      <c r="K215">
        <v>143744</v>
      </c>
      <c r="L215">
        <v>2</v>
      </c>
      <c r="M215">
        <v>10448</v>
      </c>
      <c r="N215" t="s">
        <v>224</v>
      </c>
      <c r="O215" t="s">
        <v>225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47</v>
      </c>
      <c r="AC215">
        <v>37</v>
      </c>
      <c r="AD215">
        <v>46896</v>
      </c>
      <c r="AE215">
        <v>57344</v>
      </c>
      <c r="AF215">
        <v>42.10526315789474</v>
      </c>
      <c r="AG215">
        <v>0.76</v>
      </c>
      <c r="AH215">
        <v>0</v>
      </c>
      <c r="AI215">
        <v>1</v>
      </c>
      <c r="AJ215">
        <v>11</v>
      </c>
      <c r="AK215">
        <v>18</v>
      </c>
      <c r="AL215">
        <v>7</v>
      </c>
    </row>
    <row r="216" spans="1:38" x14ac:dyDescent="0.35">
      <c r="A216" t="s">
        <v>226</v>
      </c>
      <c r="B216">
        <v>322595.24210000038</v>
      </c>
      <c r="C216">
        <v>6402490.2279000003</v>
      </c>
      <c r="D216">
        <v>2037268</v>
      </c>
      <c r="E216" t="s">
        <v>227</v>
      </c>
      <c r="F216" t="s">
        <v>228</v>
      </c>
      <c r="G216">
        <v>114814</v>
      </c>
      <c r="H216">
        <v>2</v>
      </c>
      <c r="I216" t="s">
        <v>229</v>
      </c>
      <c r="J216" t="s">
        <v>230</v>
      </c>
      <c r="K216">
        <v>125284</v>
      </c>
      <c r="L216">
        <v>2</v>
      </c>
      <c r="M216">
        <v>10470</v>
      </c>
      <c r="N216" t="s">
        <v>231</v>
      </c>
      <c r="O216" t="s">
        <v>232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47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1</v>
      </c>
      <c r="AJ216">
        <v>6</v>
      </c>
      <c r="AK216">
        <v>13</v>
      </c>
      <c r="AL216">
        <v>7</v>
      </c>
    </row>
    <row r="217" spans="1:38" x14ac:dyDescent="0.35">
      <c r="A217" t="s">
        <v>233</v>
      </c>
      <c r="B217">
        <v>324241.85690000001</v>
      </c>
      <c r="C217">
        <v>6389219.2663000003</v>
      </c>
      <c r="D217">
        <v>2047565</v>
      </c>
      <c r="E217" t="s">
        <v>234</v>
      </c>
      <c r="F217" t="s">
        <v>235</v>
      </c>
      <c r="G217">
        <v>118540</v>
      </c>
      <c r="H217">
        <v>2</v>
      </c>
      <c r="I217" t="s">
        <v>236</v>
      </c>
      <c r="J217" t="s">
        <v>237</v>
      </c>
      <c r="K217">
        <v>129024</v>
      </c>
      <c r="L217">
        <v>2</v>
      </c>
      <c r="M217">
        <v>10484</v>
      </c>
      <c r="N217" t="s">
        <v>238</v>
      </c>
      <c r="O217" t="s">
        <v>239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47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1</v>
      </c>
      <c r="AJ217">
        <v>7</v>
      </c>
      <c r="AK217">
        <v>14</v>
      </c>
      <c r="AL217">
        <v>7</v>
      </c>
    </row>
    <row r="218" spans="1:38" x14ac:dyDescent="0.35">
      <c r="A218" t="s">
        <v>240</v>
      </c>
      <c r="B218">
        <v>325701.65230000019</v>
      </c>
      <c r="C218">
        <v>6405574.6232999992</v>
      </c>
      <c r="D218">
        <v>7418202</v>
      </c>
      <c r="E218" t="s">
        <v>241</v>
      </c>
      <c r="F218" t="s">
        <v>242</v>
      </c>
      <c r="G218">
        <v>101321</v>
      </c>
      <c r="H218">
        <v>2</v>
      </c>
      <c r="I218" t="s">
        <v>243</v>
      </c>
      <c r="J218" t="s">
        <v>244</v>
      </c>
      <c r="K218">
        <v>111809</v>
      </c>
      <c r="L218">
        <v>2</v>
      </c>
      <c r="M218">
        <v>10488</v>
      </c>
      <c r="N218" t="s">
        <v>245</v>
      </c>
      <c r="O218" t="s">
        <v>246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90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1</v>
      </c>
      <c r="AJ218">
        <v>2</v>
      </c>
      <c r="AK218">
        <v>9</v>
      </c>
      <c r="AL218">
        <v>7</v>
      </c>
    </row>
    <row r="219" spans="1:38" x14ac:dyDescent="0.35">
      <c r="A219" t="s">
        <v>247</v>
      </c>
      <c r="B219">
        <v>321310.59590000007</v>
      </c>
      <c r="C219">
        <v>6403823.8726000004</v>
      </c>
      <c r="D219">
        <v>1897937</v>
      </c>
      <c r="E219" t="s">
        <v>248</v>
      </c>
      <c r="F219" t="s">
        <v>249</v>
      </c>
      <c r="G219">
        <v>133099</v>
      </c>
      <c r="H219">
        <v>2</v>
      </c>
      <c r="I219" t="s">
        <v>250</v>
      </c>
      <c r="J219" t="s">
        <v>251</v>
      </c>
      <c r="K219">
        <v>143634</v>
      </c>
      <c r="L219">
        <v>2</v>
      </c>
      <c r="M219">
        <v>10535</v>
      </c>
      <c r="N219" t="s">
        <v>252</v>
      </c>
      <c r="O219" t="s">
        <v>253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47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1</v>
      </c>
      <c r="AJ219">
        <v>11</v>
      </c>
      <c r="AK219">
        <v>18</v>
      </c>
      <c r="AL219">
        <v>7</v>
      </c>
    </row>
    <row r="220" spans="1:38" x14ac:dyDescent="0.35">
      <c r="A220" t="s">
        <v>254</v>
      </c>
      <c r="B220">
        <v>327509.12770000013</v>
      </c>
      <c r="C220">
        <v>6393079.8058000002</v>
      </c>
      <c r="D220">
        <v>9463397</v>
      </c>
      <c r="E220" t="s">
        <v>255</v>
      </c>
      <c r="F220" t="s">
        <v>256</v>
      </c>
      <c r="G220">
        <v>138244</v>
      </c>
      <c r="H220">
        <v>2</v>
      </c>
      <c r="I220" t="s">
        <v>257</v>
      </c>
      <c r="J220" t="s">
        <v>258</v>
      </c>
      <c r="K220">
        <v>148793</v>
      </c>
      <c r="L220">
        <v>2</v>
      </c>
      <c r="M220">
        <v>10549</v>
      </c>
      <c r="N220" t="s">
        <v>257</v>
      </c>
      <c r="O220" t="s">
        <v>258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47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1</v>
      </c>
      <c r="AJ220">
        <v>12</v>
      </c>
      <c r="AK220">
        <v>19</v>
      </c>
      <c r="AL220">
        <v>7</v>
      </c>
    </row>
    <row r="221" spans="1:38" x14ac:dyDescent="0.35">
      <c r="A221" t="s">
        <v>259</v>
      </c>
      <c r="B221">
        <v>321348.66540000029</v>
      </c>
      <c r="C221">
        <v>6396764.0216000006</v>
      </c>
      <c r="D221">
        <v>4680221</v>
      </c>
      <c r="E221" t="s">
        <v>260</v>
      </c>
      <c r="F221" t="s">
        <v>261</v>
      </c>
      <c r="G221">
        <v>109543</v>
      </c>
      <c r="H221">
        <v>2</v>
      </c>
      <c r="I221" t="s">
        <v>262</v>
      </c>
      <c r="J221" t="s">
        <v>263</v>
      </c>
      <c r="K221">
        <v>120109</v>
      </c>
      <c r="L221">
        <v>2</v>
      </c>
      <c r="M221">
        <v>10566</v>
      </c>
      <c r="N221" t="s">
        <v>264</v>
      </c>
      <c r="O221" t="s">
        <v>265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47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1</v>
      </c>
      <c r="AJ221">
        <v>4</v>
      </c>
      <c r="AK221">
        <v>11</v>
      </c>
      <c r="AL221">
        <v>7</v>
      </c>
    </row>
    <row r="222" spans="1:38" x14ac:dyDescent="0.35">
      <c r="A222" t="s">
        <v>266</v>
      </c>
      <c r="B222">
        <v>317850.8618999999</v>
      </c>
      <c r="C222">
        <v>6397060.0708000008</v>
      </c>
      <c r="D222">
        <v>4777988</v>
      </c>
      <c r="E222" t="s">
        <v>267</v>
      </c>
      <c r="F222" t="s">
        <v>268</v>
      </c>
      <c r="G222">
        <v>118448</v>
      </c>
      <c r="H222">
        <v>2</v>
      </c>
      <c r="I222" t="s">
        <v>269</v>
      </c>
      <c r="J222" t="s">
        <v>270</v>
      </c>
      <c r="K222">
        <v>129039</v>
      </c>
      <c r="L222">
        <v>2</v>
      </c>
      <c r="M222">
        <v>10591</v>
      </c>
      <c r="N222" t="s">
        <v>271</v>
      </c>
      <c r="O222" t="s">
        <v>272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47</v>
      </c>
      <c r="AC222">
        <v>32</v>
      </c>
      <c r="AD222">
        <v>32048</v>
      </c>
      <c r="AE222">
        <v>42639</v>
      </c>
      <c r="AF222">
        <v>52</v>
      </c>
      <c r="AG222">
        <v>1</v>
      </c>
      <c r="AH222">
        <v>0.496</v>
      </c>
      <c r="AI222">
        <v>1</v>
      </c>
      <c r="AJ222">
        <v>7</v>
      </c>
      <c r="AK222">
        <v>14</v>
      </c>
      <c r="AL222">
        <v>7</v>
      </c>
    </row>
    <row r="223" spans="1:38" x14ac:dyDescent="0.35">
      <c r="A223" t="s">
        <v>1310</v>
      </c>
      <c r="B223">
        <v>322023.95469999971</v>
      </c>
      <c r="C223">
        <v>6395588.2996999994</v>
      </c>
      <c r="D223">
        <v>1895825</v>
      </c>
      <c r="E223" t="s">
        <v>1311</v>
      </c>
      <c r="F223" t="s">
        <v>1312</v>
      </c>
      <c r="G223">
        <v>113108</v>
      </c>
      <c r="H223">
        <v>2</v>
      </c>
      <c r="I223" t="s">
        <v>1313</v>
      </c>
      <c r="J223" t="s">
        <v>1314</v>
      </c>
      <c r="K223">
        <v>123699</v>
      </c>
      <c r="L223">
        <v>2</v>
      </c>
      <c r="M223">
        <v>10591</v>
      </c>
      <c r="N223" t="s">
        <v>1315</v>
      </c>
      <c r="O223" t="s">
        <v>1316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47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1</v>
      </c>
      <c r="AJ223">
        <v>5</v>
      </c>
      <c r="AK223">
        <v>12</v>
      </c>
      <c r="AL223">
        <v>7</v>
      </c>
    </row>
    <row r="224" spans="1:38" x14ac:dyDescent="0.35">
      <c r="A224" t="s">
        <v>1317</v>
      </c>
      <c r="B224">
        <v>319250.63599999988</v>
      </c>
      <c r="C224">
        <v>6393942.4736000001</v>
      </c>
      <c r="D224">
        <v>2317000</v>
      </c>
      <c r="E224" t="s">
        <v>1318</v>
      </c>
      <c r="F224" t="s">
        <v>1319</v>
      </c>
      <c r="G224">
        <v>118973</v>
      </c>
      <c r="H224">
        <v>2</v>
      </c>
      <c r="I224" t="s">
        <v>1320</v>
      </c>
      <c r="J224" t="s">
        <v>1321</v>
      </c>
      <c r="K224">
        <v>129569</v>
      </c>
      <c r="L224">
        <v>2</v>
      </c>
      <c r="M224">
        <v>10596</v>
      </c>
      <c r="N224" t="s">
        <v>1322</v>
      </c>
      <c r="O224" t="s">
        <v>1323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47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1</v>
      </c>
      <c r="AJ224">
        <v>7</v>
      </c>
      <c r="AK224">
        <v>14</v>
      </c>
      <c r="AL224">
        <v>7</v>
      </c>
    </row>
    <row r="225" spans="1:38" x14ac:dyDescent="0.35">
      <c r="A225" t="s">
        <v>1324</v>
      </c>
      <c r="B225">
        <v>322237.50600000011</v>
      </c>
      <c r="C225">
        <v>6392825.9718999993</v>
      </c>
      <c r="D225">
        <v>4921170</v>
      </c>
      <c r="E225" t="s">
        <v>1325</v>
      </c>
      <c r="F225" t="s">
        <v>1326</v>
      </c>
      <c r="G225">
        <v>101505</v>
      </c>
      <c r="H225">
        <v>2</v>
      </c>
      <c r="I225" t="s">
        <v>1327</v>
      </c>
      <c r="J225" t="s">
        <v>1328</v>
      </c>
      <c r="K225">
        <v>112104</v>
      </c>
      <c r="L225">
        <v>2</v>
      </c>
      <c r="M225">
        <v>10599</v>
      </c>
      <c r="N225" t="s">
        <v>1329</v>
      </c>
      <c r="O225" t="s">
        <v>1330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47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1</v>
      </c>
      <c r="AJ225">
        <v>2</v>
      </c>
      <c r="AK225">
        <v>9</v>
      </c>
      <c r="AL225">
        <v>7</v>
      </c>
    </row>
    <row r="226" spans="1:38" x14ac:dyDescent="0.35">
      <c r="A226" t="s">
        <v>1331</v>
      </c>
      <c r="B226">
        <v>319794.05879999982</v>
      </c>
      <c r="C226">
        <v>6399370.3343000002</v>
      </c>
      <c r="D226">
        <v>1946561</v>
      </c>
      <c r="E226" t="s">
        <v>1332</v>
      </c>
      <c r="F226" t="s">
        <v>1333</v>
      </c>
      <c r="G226">
        <v>131013</v>
      </c>
      <c r="H226">
        <v>2</v>
      </c>
      <c r="I226" t="s">
        <v>1334</v>
      </c>
      <c r="J226" t="s">
        <v>1335</v>
      </c>
      <c r="K226">
        <v>141614</v>
      </c>
      <c r="L226">
        <v>2</v>
      </c>
      <c r="M226">
        <v>10601</v>
      </c>
      <c r="N226" t="s">
        <v>1336</v>
      </c>
      <c r="O226" t="s">
        <v>1337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47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1</v>
      </c>
      <c r="AJ226">
        <v>10</v>
      </c>
      <c r="AK226">
        <v>17</v>
      </c>
      <c r="AL226">
        <v>7</v>
      </c>
    </row>
    <row r="227" spans="1:38" x14ac:dyDescent="0.35">
      <c r="A227" t="s">
        <v>1338</v>
      </c>
      <c r="B227">
        <v>323975.31300000008</v>
      </c>
      <c r="C227">
        <v>6402382.6871000007</v>
      </c>
      <c r="D227">
        <v>1895322</v>
      </c>
      <c r="E227" t="s">
        <v>1339</v>
      </c>
      <c r="F227" t="s">
        <v>1340</v>
      </c>
      <c r="G227">
        <v>118991</v>
      </c>
      <c r="H227">
        <v>2</v>
      </c>
      <c r="I227" t="s">
        <v>1341</v>
      </c>
      <c r="J227" t="s">
        <v>1342</v>
      </c>
      <c r="K227">
        <v>129594</v>
      </c>
      <c r="L227">
        <v>2</v>
      </c>
      <c r="M227">
        <v>10603</v>
      </c>
      <c r="N227" t="s">
        <v>1343</v>
      </c>
      <c r="O227" t="s">
        <v>1344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47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1</v>
      </c>
      <c r="AJ227">
        <v>7</v>
      </c>
      <c r="AK227">
        <v>14</v>
      </c>
      <c r="AL227">
        <v>7</v>
      </c>
    </row>
    <row r="228" spans="1:38" x14ac:dyDescent="0.35">
      <c r="A228" t="s">
        <v>1345</v>
      </c>
      <c r="B228">
        <v>323990.42449999967</v>
      </c>
      <c r="C228">
        <v>6401426.9105999991</v>
      </c>
      <c r="D228">
        <v>1925712</v>
      </c>
      <c r="E228" t="s">
        <v>1346</v>
      </c>
      <c r="F228" t="s">
        <v>1347</v>
      </c>
      <c r="G228">
        <v>111919</v>
      </c>
      <c r="H228">
        <v>2</v>
      </c>
      <c r="I228" t="s">
        <v>1348</v>
      </c>
      <c r="J228" t="s">
        <v>1349</v>
      </c>
      <c r="K228">
        <v>122539</v>
      </c>
      <c r="L228">
        <v>2</v>
      </c>
      <c r="M228">
        <v>10620</v>
      </c>
      <c r="N228" t="s">
        <v>1350</v>
      </c>
      <c r="O228" t="s">
        <v>1351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47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1</v>
      </c>
      <c r="AJ228">
        <v>5</v>
      </c>
      <c r="AK228">
        <v>12</v>
      </c>
      <c r="AL228">
        <v>7</v>
      </c>
    </row>
    <row r="229" spans="1:38" x14ac:dyDescent="0.35">
      <c r="A229" t="s">
        <v>1352</v>
      </c>
      <c r="B229">
        <v>307134.40060000028</v>
      </c>
      <c r="C229">
        <v>6402243.5343999993</v>
      </c>
      <c r="D229">
        <v>2323646</v>
      </c>
      <c r="E229" t="s">
        <v>1353</v>
      </c>
      <c r="F229" t="s">
        <v>1354</v>
      </c>
      <c r="G229">
        <v>161993</v>
      </c>
      <c r="H229">
        <v>2</v>
      </c>
      <c r="I229" t="s">
        <v>1355</v>
      </c>
      <c r="J229" t="s">
        <v>87</v>
      </c>
      <c r="K229">
        <v>172614</v>
      </c>
      <c r="L229">
        <v>2</v>
      </c>
      <c r="M229">
        <v>10621</v>
      </c>
      <c r="N229" t="s">
        <v>1356</v>
      </c>
      <c r="O229" t="s">
        <v>1357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90</v>
      </c>
      <c r="AC229">
        <v>44</v>
      </c>
      <c r="AD229">
        <v>75593</v>
      </c>
      <c r="AE229">
        <v>86214</v>
      </c>
      <c r="AF229">
        <v>60</v>
      </c>
      <c r="AG229">
        <v>1</v>
      </c>
      <c r="AH229">
        <v>0.17599999999999999</v>
      </c>
      <c r="AI229">
        <v>1</v>
      </c>
      <c r="AJ229">
        <v>19</v>
      </c>
      <c r="AK229">
        <v>24</v>
      </c>
      <c r="AL229">
        <v>5</v>
      </c>
    </row>
  </sheetData>
  <autoFilter ref="AJ1:AJ229" xr:uid="{AE581F80-4E34-43F2-8B89-C24CCBF111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B8B6-4D20-45F6-BE03-78637AC002D2}">
  <dimension ref="A1:AL126"/>
  <sheetViews>
    <sheetView tabSelected="1" topLeftCell="O83" workbookViewId="0">
      <selection activeCell="AI2" sqref="AI2:AI126"/>
    </sheetView>
  </sheetViews>
  <sheetFormatPr defaultRowHeight="14.5" x14ac:dyDescent="0.35"/>
  <sheetData>
    <row r="1" spans="1:38" x14ac:dyDescent="0.3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28</v>
      </c>
      <c r="T1" s="9" t="s">
        <v>29</v>
      </c>
      <c r="U1" s="9" t="s">
        <v>30</v>
      </c>
      <c r="V1" s="9" t="s">
        <v>31</v>
      </c>
      <c r="W1" s="9" t="s">
        <v>32</v>
      </c>
      <c r="X1" s="9" t="s">
        <v>33</v>
      </c>
      <c r="Y1" s="9" t="s">
        <v>34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39</v>
      </c>
      <c r="AE1" s="9" t="s">
        <v>40</v>
      </c>
      <c r="AF1" s="9" t="s">
        <v>6</v>
      </c>
      <c r="AG1" s="9" t="s">
        <v>4</v>
      </c>
      <c r="AH1" s="9" t="s">
        <v>3</v>
      </c>
      <c r="AI1" s="9" t="s">
        <v>7</v>
      </c>
      <c r="AJ1" s="9" t="s">
        <v>1</v>
      </c>
      <c r="AK1" s="9" t="s">
        <v>2</v>
      </c>
      <c r="AL1" s="9" t="s">
        <v>41</v>
      </c>
    </row>
    <row r="2" spans="1:38" x14ac:dyDescent="0.35">
      <c r="A2" s="8" t="s">
        <v>1361</v>
      </c>
      <c r="B2" s="8">
        <v>317653.29619999969</v>
      </c>
      <c r="C2" s="8">
        <v>6394946.3947999999</v>
      </c>
      <c r="D2" s="8">
        <v>4588433</v>
      </c>
      <c r="E2" s="8" t="s">
        <v>1362</v>
      </c>
      <c r="F2" s="8" t="s">
        <v>1363</v>
      </c>
      <c r="G2" s="8">
        <v>113596</v>
      </c>
      <c r="H2" s="8">
        <v>2</v>
      </c>
      <c r="I2" s="8" t="s">
        <v>1364</v>
      </c>
      <c r="J2" s="8" t="s">
        <v>1365</v>
      </c>
      <c r="K2" s="8">
        <v>121639</v>
      </c>
      <c r="L2" s="8">
        <v>2</v>
      </c>
      <c r="M2" s="8">
        <v>8043</v>
      </c>
      <c r="N2" s="8" t="s">
        <v>1366</v>
      </c>
      <c r="O2" s="8" t="s">
        <v>1367</v>
      </c>
      <c r="P2" s="8">
        <v>145446</v>
      </c>
      <c r="Q2" s="8">
        <v>2</v>
      </c>
      <c r="R2" s="8">
        <v>31850</v>
      </c>
      <c r="S2" s="8">
        <v>0.253</v>
      </c>
      <c r="T2" s="8">
        <v>0.64600000000000002</v>
      </c>
      <c r="U2" s="8">
        <v>34</v>
      </c>
      <c r="V2" s="8">
        <v>1</v>
      </c>
      <c r="W2" s="8">
        <v>52</v>
      </c>
      <c r="X2" s="8">
        <v>18</v>
      </c>
      <c r="Y2" s="8">
        <v>0</v>
      </c>
      <c r="Z2" s="8">
        <v>31.554444444444449</v>
      </c>
      <c r="AA2" s="8">
        <v>33.788611111111109</v>
      </c>
      <c r="AB2" s="8" t="s">
        <v>47</v>
      </c>
      <c r="AC2" s="8">
        <v>31</v>
      </c>
      <c r="AD2" s="8">
        <v>27196</v>
      </c>
      <c r="AE2" s="8">
        <v>35239</v>
      </c>
      <c r="AF2" s="8">
        <v>52</v>
      </c>
      <c r="AG2" s="8">
        <v>1</v>
      </c>
      <c r="AH2" s="8">
        <v>0.64600000000000002</v>
      </c>
      <c r="AI2" s="8">
        <v>1</v>
      </c>
      <c r="AJ2" s="8">
        <v>8</v>
      </c>
      <c r="AK2" s="8">
        <v>12</v>
      </c>
      <c r="AL2" s="8">
        <v>4</v>
      </c>
    </row>
    <row r="3" spans="1:38" x14ac:dyDescent="0.35">
      <c r="A3" s="8" t="s">
        <v>1368</v>
      </c>
      <c r="B3" s="8">
        <v>314398.93620000029</v>
      </c>
      <c r="C3" s="8">
        <v>6390152.6870000008</v>
      </c>
      <c r="D3" s="8">
        <v>4921336</v>
      </c>
      <c r="E3" s="8" t="s">
        <v>1369</v>
      </c>
      <c r="F3" s="8" t="s">
        <v>1370</v>
      </c>
      <c r="G3" s="8">
        <v>149035</v>
      </c>
      <c r="H3" s="8">
        <v>2</v>
      </c>
      <c r="I3" s="8" t="s">
        <v>1371</v>
      </c>
      <c r="J3" s="8" t="s">
        <v>1372</v>
      </c>
      <c r="K3" s="8">
        <v>157119</v>
      </c>
      <c r="L3" s="8">
        <v>2</v>
      </c>
      <c r="M3" s="8">
        <v>8084</v>
      </c>
      <c r="N3" s="8" t="s">
        <v>1373</v>
      </c>
      <c r="O3" s="8" t="s">
        <v>1358</v>
      </c>
      <c r="P3" s="8">
        <v>209584</v>
      </c>
      <c r="Q3" s="8">
        <v>3</v>
      </c>
      <c r="R3" s="8">
        <v>60549</v>
      </c>
      <c r="S3" s="8">
        <v>0.13400000000000001</v>
      </c>
      <c r="T3" s="8">
        <v>0.36299999999999999</v>
      </c>
      <c r="U3" s="8">
        <v>19</v>
      </c>
      <c r="V3" s="8">
        <v>1</v>
      </c>
      <c r="W3" s="8">
        <v>52</v>
      </c>
      <c r="X3" s="8">
        <v>33</v>
      </c>
      <c r="Y3" s="8">
        <v>283.07400000000001</v>
      </c>
      <c r="Z3" s="8">
        <v>41.398611111111109</v>
      </c>
      <c r="AA3" s="8">
        <v>43.644166666666663</v>
      </c>
      <c r="AB3" s="8" t="s">
        <v>90</v>
      </c>
      <c r="AC3" s="8">
        <v>41</v>
      </c>
      <c r="AD3" s="8">
        <v>62635</v>
      </c>
      <c r="AE3" s="8">
        <v>70719</v>
      </c>
      <c r="AF3" s="8">
        <v>52</v>
      </c>
      <c r="AG3" s="8">
        <v>1</v>
      </c>
      <c r="AH3" s="8">
        <v>0.36299999999999999</v>
      </c>
      <c r="AI3" s="8">
        <v>1</v>
      </c>
      <c r="AJ3" s="8">
        <v>17</v>
      </c>
      <c r="AK3" s="8">
        <v>22</v>
      </c>
      <c r="AL3" s="8">
        <v>5</v>
      </c>
    </row>
    <row r="4" spans="1:38" x14ac:dyDescent="0.35">
      <c r="A4" s="8" t="s">
        <v>1374</v>
      </c>
      <c r="B4" s="8">
        <v>308578.84690000018</v>
      </c>
      <c r="C4" s="8">
        <v>6404768.7372999992</v>
      </c>
      <c r="D4" s="8">
        <v>2325034</v>
      </c>
      <c r="E4" s="8" t="s">
        <v>1375</v>
      </c>
      <c r="F4" s="8" t="s">
        <v>1376</v>
      </c>
      <c r="G4" s="8">
        <v>155639</v>
      </c>
      <c r="H4" s="8">
        <v>2</v>
      </c>
      <c r="I4" s="8" t="s">
        <v>1377</v>
      </c>
      <c r="J4" s="8" t="s">
        <v>1378</v>
      </c>
      <c r="K4" s="8">
        <v>163734</v>
      </c>
      <c r="L4" s="8">
        <v>2</v>
      </c>
      <c r="M4" s="8">
        <v>8095</v>
      </c>
      <c r="N4" s="8" t="s">
        <v>1379</v>
      </c>
      <c r="O4" s="8" t="s">
        <v>1380</v>
      </c>
      <c r="P4" s="8">
        <v>198787</v>
      </c>
      <c r="Q4" s="8">
        <v>3</v>
      </c>
      <c r="R4" s="8">
        <v>43148</v>
      </c>
      <c r="S4" s="8">
        <v>0.188</v>
      </c>
      <c r="T4" s="8">
        <v>0.36199999999999999</v>
      </c>
      <c r="U4" s="8">
        <v>19</v>
      </c>
      <c r="V4" s="8">
        <v>1</v>
      </c>
      <c r="W4" s="8">
        <v>52</v>
      </c>
      <c r="X4" s="8">
        <v>33</v>
      </c>
      <c r="Y4" s="8">
        <v>262.303</v>
      </c>
      <c r="Z4" s="8">
        <v>43.233055555555559</v>
      </c>
      <c r="AA4" s="8">
        <v>45.481666666666669</v>
      </c>
      <c r="AB4" s="8" t="s">
        <v>90</v>
      </c>
      <c r="AC4" s="8">
        <v>43</v>
      </c>
      <c r="AD4" s="8">
        <v>69239</v>
      </c>
      <c r="AE4" s="8">
        <v>77334</v>
      </c>
      <c r="AF4" s="8">
        <v>52</v>
      </c>
      <c r="AG4" s="8">
        <v>1</v>
      </c>
      <c r="AH4" s="8">
        <v>0.36199999999999999</v>
      </c>
      <c r="AI4" s="8">
        <v>1</v>
      </c>
      <c r="AJ4" s="8">
        <v>19</v>
      </c>
      <c r="AK4" s="8">
        <v>23</v>
      </c>
      <c r="AL4" s="8">
        <v>4</v>
      </c>
    </row>
    <row r="5" spans="1:38" x14ac:dyDescent="0.35">
      <c r="A5" s="8" t="s">
        <v>1381</v>
      </c>
      <c r="B5" s="8">
        <v>317071.22499999963</v>
      </c>
      <c r="C5" s="8">
        <v>6398317.3734000009</v>
      </c>
      <c r="D5" s="8">
        <v>4779775</v>
      </c>
      <c r="E5" s="8" t="s">
        <v>1382</v>
      </c>
      <c r="F5" s="8" t="s">
        <v>1383</v>
      </c>
      <c r="G5" s="8">
        <v>148516</v>
      </c>
      <c r="H5" s="8">
        <v>2</v>
      </c>
      <c r="I5" s="8" t="s">
        <v>1384</v>
      </c>
      <c r="J5" s="8" t="s">
        <v>1385</v>
      </c>
      <c r="K5" s="8">
        <v>156684</v>
      </c>
      <c r="L5" s="8">
        <v>2</v>
      </c>
      <c r="M5" s="8">
        <v>8168</v>
      </c>
      <c r="N5" s="8" t="s">
        <v>1386</v>
      </c>
      <c r="O5" s="8" t="s">
        <v>1387</v>
      </c>
      <c r="P5" s="8">
        <v>198093</v>
      </c>
      <c r="Q5" s="8">
        <v>3</v>
      </c>
      <c r="R5" s="8">
        <v>49577</v>
      </c>
      <c r="S5" s="8">
        <v>0.16500000000000001</v>
      </c>
      <c r="T5" s="8">
        <v>0.35299999999999998</v>
      </c>
      <c r="U5" s="8">
        <v>18</v>
      </c>
      <c r="V5" s="8">
        <v>1</v>
      </c>
      <c r="W5" s="8">
        <v>52</v>
      </c>
      <c r="X5" s="8">
        <v>34</v>
      </c>
      <c r="Y5" s="8">
        <v>318.19600000000003</v>
      </c>
      <c r="Z5" s="8">
        <v>41.254444444444452</v>
      </c>
      <c r="AA5" s="8">
        <v>43.523333333333333</v>
      </c>
      <c r="AB5" s="8" t="s">
        <v>90</v>
      </c>
      <c r="AC5" s="8">
        <v>41</v>
      </c>
      <c r="AD5" s="8">
        <v>62116</v>
      </c>
      <c r="AE5" s="8">
        <v>70284</v>
      </c>
      <c r="AF5" s="8">
        <v>52</v>
      </c>
      <c r="AG5" s="8">
        <v>1</v>
      </c>
      <c r="AH5" s="8">
        <v>0.35299999999999998</v>
      </c>
      <c r="AI5" s="8">
        <v>1</v>
      </c>
      <c r="AJ5" s="8">
        <v>17</v>
      </c>
      <c r="AK5" s="8">
        <v>22</v>
      </c>
      <c r="AL5" s="8">
        <v>5</v>
      </c>
    </row>
    <row r="6" spans="1:38" x14ac:dyDescent="0.35">
      <c r="A6" s="8" t="s">
        <v>1388</v>
      </c>
      <c r="B6" s="8">
        <v>314432.47200000013</v>
      </c>
      <c r="C6" s="8">
        <v>6390677.2170000002</v>
      </c>
      <c r="D6" s="8">
        <v>4643783</v>
      </c>
      <c r="E6" s="8" t="s">
        <v>1389</v>
      </c>
      <c r="F6" s="8" t="s">
        <v>1390</v>
      </c>
      <c r="G6" s="8">
        <v>120745</v>
      </c>
      <c r="H6" s="8">
        <v>2</v>
      </c>
      <c r="I6" s="8" t="s">
        <v>1391</v>
      </c>
      <c r="J6" s="8" t="s">
        <v>1392</v>
      </c>
      <c r="K6" s="8">
        <v>128934</v>
      </c>
      <c r="L6" s="8">
        <v>2</v>
      </c>
      <c r="M6" s="8">
        <v>8189</v>
      </c>
      <c r="N6" s="8" t="s">
        <v>1393</v>
      </c>
      <c r="O6" s="8" t="s">
        <v>1394</v>
      </c>
      <c r="P6" s="8">
        <v>155364</v>
      </c>
      <c r="Q6" s="8">
        <v>2</v>
      </c>
      <c r="R6" s="8">
        <v>34619</v>
      </c>
      <c r="S6" s="8">
        <v>0.23699999999999999</v>
      </c>
      <c r="T6" s="8">
        <v>0.42399999999999999</v>
      </c>
      <c r="U6" s="8">
        <v>25</v>
      </c>
      <c r="V6" s="8">
        <v>1</v>
      </c>
      <c r="W6" s="8">
        <v>60</v>
      </c>
      <c r="X6" s="8">
        <v>35</v>
      </c>
      <c r="Y6" s="8">
        <v>235.15899999999999</v>
      </c>
      <c r="Z6" s="8">
        <v>33.540277777777767</v>
      </c>
      <c r="AA6" s="8">
        <v>35.814999999999998</v>
      </c>
      <c r="AB6" s="8" t="s">
        <v>90</v>
      </c>
      <c r="AC6" s="8">
        <v>33</v>
      </c>
      <c r="AD6" s="8">
        <v>34345</v>
      </c>
      <c r="AE6" s="8">
        <v>42534</v>
      </c>
      <c r="AF6" s="8">
        <v>60</v>
      </c>
      <c r="AG6" s="8">
        <v>1</v>
      </c>
      <c r="AH6" s="8">
        <v>0.42399999999999999</v>
      </c>
      <c r="AI6" s="8">
        <v>1</v>
      </c>
      <c r="AJ6" s="8">
        <v>10</v>
      </c>
      <c r="AK6" s="8">
        <v>14</v>
      </c>
      <c r="AL6" s="8">
        <v>4</v>
      </c>
    </row>
    <row r="7" spans="1:38" x14ac:dyDescent="0.35">
      <c r="A7" s="8" t="s">
        <v>1395</v>
      </c>
      <c r="B7" s="8">
        <v>316526.52689999988</v>
      </c>
      <c r="C7" s="8">
        <v>6400044.7518000007</v>
      </c>
      <c r="D7" s="8">
        <v>7372369</v>
      </c>
      <c r="E7" s="8" t="s">
        <v>1396</v>
      </c>
      <c r="F7" s="8" t="s">
        <v>1397</v>
      </c>
      <c r="G7" s="8">
        <v>110019</v>
      </c>
      <c r="H7" s="8">
        <v>2</v>
      </c>
      <c r="I7" s="8" t="s">
        <v>1398</v>
      </c>
      <c r="J7" s="8" t="s">
        <v>1399</v>
      </c>
      <c r="K7" s="8">
        <v>118249</v>
      </c>
      <c r="L7" s="8">
        <v>2</v>
      </c>
      <c r="M7" s="8">
        <v>8230</v>
      </c>
      <c r="N7" s="8" t="s">
        <v>1400</v>
      </c>
      <c r="O7" s="8" t="s">
        <v>1401</v>
      </c>
      <c r="P7" s="8">
        <v>145943</v>
      </c>
      <c r="Q7" s="8">
        <v>2</v>
      </c>
      <c r="R7" s="8">
        <v>35924</v>
      </c>
      <c r="S7" s="8">
        <v>0.22900000000000001</v>
      </c>
      <c r="T7" s="8">
        <v>0.63500000000000001</v>
      </c>
      <c r="U7" s="8">
        <v>33</v>
      </c>
      <c r="V7" s="8">
        <v>1</v>
      </c>
      <c r="W7" s="8">
        <v>52</v>
      </c>
      <c r="X7" s="8">
        <v>19</v>
      </c>
      <c r="Y7" s="8">
        <v>0</v>
      </c>
      <c r="Z7" s="8">
        <v>30.560833333333331</v>
      </c>
      <c r="AA7" s="8">
        <v>32.846944444444453</v>
      </c>
      <c r="AB7" s="8" t="s">
        <v>47</v>
      </c>
      <c r="AC7" s="8">
        <v>30</v>
      </c>
      <c r="AD7" s="8">
        <v>23619</v>
      </c>
      <c r="AE7" s="8">
        <v>31849</v>
      </c>
      <c r="AF7" s="8">
        <v>52</v>
      </c>
      <c r="AG7" s="8">
        <v>1</v>
      </c>
      <c r="AH7" s="8">
        <v>0.63500000000000001</v>
      </c>
      <c r="AI7" s="8">
        <v>1</v>
      </c>
      <c r="AJ7" s="8">
        <v>7</v>
      </c>
      <c r="AK7" s="8">
        <v>11</v>
      </c>
      <c r="AL7" s="8">
        <v>4</v>
      </c>
    </row>
    <row r="8" spans="1:38" x14ac:dyDescent="0.35">
      <c r="A8" s="8" t="s">
        <v>1402</v>
      </c>
      <c r="B8" s="8">
        <v>314761.43670000043</v>
      </c>
      <c r="C8" s="8">
        <v>6393985.5845999997</v>
      </c>
      <c r="D8" s="8">
        <v>2038962</v>
      </c>
      <c r="E8" s="8" t="s">
        <v>1403</v>
      </c>
      <c r="F8" s="8" t="s">
        <v>1404</v>
      </c>
      <c r="G8" s="8">
        <v>131765</v>
      </c>
      <c r="H8" s="8">
        <v>2</v>
      </c>
      <c r="I8" s="8" t="s">
        <v>1405</v>
      </c>
      <c r="J8" s="8" t="s">
        <v>1406</v>
      </c>
      <c r="K8" s="8">
        <v>140019</v>
      </c>
      <c r="L8" s="8">
        <v>2</v>
      </c>
      <c r="M8" s="8">
        <v>8254</v>
      </c>
      <c r="N8" s="8" t="s">
        <v>1407</v>
      </c>
      <c r="O8" s="8" t="s">
        <v>1408</v>
      </c>
      <c r="P8" s="8">
        <v>207131</v>
      </c>
      <c r="Q8" s="8">
        <v>3</v>
      </c>
      <c r="R8" s="8">
        <v>75366</v>
      </c>
      <c r="S8" s="8">
        <v>0.11</v>
      </c>
      <c r="T8" s="8">
        <v>0.34399999999999997</v>
      </c>
      <c r="U8" s="8">
        <v>18</v>
      </c>
      <c r="V8" s="8">
        <v>1</v>
      </c>
      <c r="W8" s="8">
        <v>52</v>
      </c>
      <c r="X8" s="8">
        <v>34</v>
      </c>
      <c r="Y8" s="8">
        <v>373.68599999999998</v>
      </c>
      <c r="Z8" s="8">
        <v>36.601388888888891</v>
      </c>
      <c r="AA8" s="8">
        <v>38.894166666666663</v>
      </c>
      <c r="AB8" s="8" t="s">
        <v>90</v>
      </c>
      <c r="AC8" s="8">
        <v>36</v>
      </c>
      <c r="AD8" s="8">
        <v>45365</v>
      </c>
      <c r="AE8" s="8">
        <v>53619</v>
      </c>
      <c r="AF8" s="8">
        <v>52</v>
      </c>
      <c r="AG8" s="8">
        <v>1</v>
      </c>
      <c r="AH8" s="8">
        <v>0.34399999999999997</v>
      </c>
      <c r="AI8" s="8">
        <v>1</v>
      </c>
      <c r="AJ8" s="8">
        <v>13</v>
      </c>
      <c r="AK8" s="8">
        <v>17</v>
      </c>
      <c r="AL8" s="8">
        <v>4</v>
      </c>
    </row>
    <row r="9" spans="1:38" x14ac:dyDescent="0.35">
      <c r="A9" s="8" t="s">
        <v>1409</v>
      </c>
      <c r="B9" s="8">
        <v>315219.34360000031</v>
      </c>
      <c r="C9" s="8">
        <v>6392604.5736999996</v>
      </c>
      <c r="D9" s="8">
        <v>1996427</v>
      </c>
      <c r="E9" s="8" t="s">
        <v>1410</v>
      </c>
      <c r="F9" s="8" t="s">
        <v>1411</v>
      </c>
      <c r="G9" s="8">
        <v>133955</v>
      </c>
      <c r="H9" s="8">
        <v>2</v>
      </c>
      <c r="I9" s="8" t="s">
        <v>1412</v>
      </c>
      <c r="J9" s="8" t="s">
        <v>1413</v>
      </c>
      <c r="K9" s="8">
        <v>142269</v>
      </c>
      <c r="L9" s="8">
        <v>2</v>
      </c>
      <c r="M9" s="8">
        <v>8314</v>
      </c>
      <c r="N9" s="8" t="s">
        <v>1414</v>
      </c>
      <c r="O9" s="8" t="s">
        <v>1415</v>
      </c>
      <c r="P9" s="8">
        <v>204337</v>
      </c>
      <c r="Q9" s="8">
        <v>3</v>
      </c>
      <c r="R9" s="8">
        <v>70382</v>
      </c>
      <c r="S9" s="8">
        <v>0.11799999999999999</v>
      </c>
      <c r="T9" s="8">
        <v>0.41099999999999998</v>
      </c>
      <c r="U9" s="8">
        <v>25</v>
      </c>
      <c r="V9" s="8">
        <v>1</v>
      </c>
      <c r="W9" s="8">
        <v>60</v>
      </c>
      <c r="X9" s="8">
        <v>35</v>
      </c>
      <c r="Y9" s="8">
        <v>158.54300000000001</v>
      </c>
      <c r="Z9" s="8">
        <v>37.209722222222233</v>
      </c>
      <c r="AA9" s="8">
        <v>39.519166666666663</v>
      </c>
      <c r="AB9" s="8" t="s">
        <v>90</v>
      </c>
      <c r="AC9" s="8">
        <v>37</v>
      </c>
      <c r="AD9" s="8">
        <v>47555</v>
      </c>
      <c r="AE9" s="8">
        <v>55869</v>
      </c>
      <c r="AF9" s="8">
        <v>60</v>
      </c>
      <c r="AG9" s="8">
        <v>1</v>
      </c>
      <c r="AH9" s="8">
        <v>0.41099999999999998</v>
      </c>
      <c r="AI9" s="8">
        <v>1</v>
      </c>
      <c r="AJ9" s="8">
        <v>13</v>
      </c>
      <c r="AK9" s="8">
        <v>18</v>
      </c>
      <c r="AL9" s="8">
        <v>5</v>
      </c>
    </row>
    <row r="10" spans="1:38" x14ac:dyDescent="0.35">
      <c r="A10" s="8" t="s">
        <v>1416</v>
      </c>
      <c r="B10" s="8">
        <v>307665.98940000031</v>
      </c>
      <c r="C10" s="8">
        <v>6400964.5315000014</v>
      </c>
      <c r="D10" s="8">
        <v>5886662</v>
      </c>
      <c r="E10" s="8" t="s">
        <v>1417</v>
      </c>
      <c r="F10" s="8" t="s">
        <v>1418</v>
      </c>
      <c r="G10" s="8">
        <v>114027</v>
      </c>
      <c r="H10" s="8">
        <v>2</v>
      </c>
      <c r="I10" s="8" t="s">
        <v>1419</v>
      </c>
      <c r="J10" s="8" t="s">
        <v>1420</v>
      </c>
      <c r="K10" s="8">
        <v>122344</v>
      </c>
      <c r="L10" s="8">
        <v>2</v>
      </c>
      <c r="M10" s="8">
        <v>8317</v>
      </c>
      <c r="N10" s="8" t="s">
        <v>1421</v>
      </c>
      <c r="O10" s="8" t="s">
        <v>1422</v>
      </c>
      <c r="P10" s="8">
        <v>148322</v>
      </c>
      <c r="Q10" s="8">
        <v>2</v>
      </c>
      <c r="R10" s="8">
        <v>34295</v>
      </c>
      <c r="S10" s="8">
        <v>0.24299999999999999</v>
      </c>
      <c r="T10" s="8">
        <v>0.51600000000000001</v>
      </c>
      <c r="U10" s="8">
        <v>22</v>
      </c>
      <c r="V10" s="8">
        <v>1</v>
      </c>
      <c r="W10" s="8">
        <v>42</v>
      </c>
      <c r="X10" s="8">
        <v>20</v>
      </c>
      <c r="Y10" s="8">
        <v>0</v>
      </c>
      <c r="Z10" s="8">
        <v>31.674166666666672</v>
      </c>
      <c r="AA10" s="8">
        <v>33.984444444444442</v>
      </c>
      <c r="AB10" s="8" t="s">
        <v>47</v>
      </c>
      <c r="AC10" s="8">
        <v>31</v>
      </c>
      <c r="AD10" s="8">
        <v>27627</v>
      </c>
      <c r="AE10" s="8">
        <v>35944</v>
      </c>
      <c r="AF10" s="8">
        <v>42</v>
      </c>
      <c r="AG10" s="8">
        <v>1</v>
      </c>
      <c r="AH10" s="8">
        <v>0.51600000000000001</v>
      </c>
      <c r="AI10" s="8">
        <v>1</v>
      </c>
      <c r="AJ10" s="8">
        <v>8</v>
      </c>
      <c r="AK10" s="8">
        <v>12</v>
      </c>
      <c r="AL10" s="8">
        <v>4</v>
      </c>
    </row>
    <row r="11" spans="1:38" x14ac:dyDescent="0.35">
      <c r="A11" s="8" t="s">
        <v>1423</v>
      </c>
      <c r="B11" s="8">
        <v>315698.90429999959</v>
      </c>
      <c r="C11" s="8">
        <v>6392867.8892999999</v>
      </c>
      <c r="D11" s="8">
        <v>2098719</v>
      </c>
      <c r="E11" s="8" t="s">
        <v>1424</v>
      </c>
      <c r="F11" s="8" t="s">
        <v>1425</v>
      </c>
      <c r="G11" s="8">
        <v>149180</v>
      </c>
      <c r="H11" s="8">
        <v>2</v>
      </c>
      <c r="I11" s="8" t="s">
        <v>1426</v>
      </c>
      <c r="J11" s="8" t="s">
        <v>1427</v>
      </c>
      <c r="K11" s="8">
        <v>157579</v>
      </c>
      <c r="L11" s="8">
        <v>2</v>
      </c>
      <c r="M11" s="8">
        <v>8399</v>
      </c>
      <c r="N11" s="8" t="s">
        <v>1428</v>
      </c>
      <c r="O11" s="8" t="s">
        <v>1429</v>
      </c>
      <c r="P11" s="8">
        <v>204102</v>
      </c>
      <c r="Q11" s="8">
        <v>3</v>
      </c>
      <c r="R11" s="8">
        <v>54922</v>
      </c>
      <c r="S11" s="8">
        <v>0.153</v>
      </c>
      <c r="T11" s="8">
        <v>0.45700000000000002</v>
      </c>
      <c r="U11" s="8">
        <v>34</v>
      </c>
      <c r="V11" s="8">
        <v>1</v>
      </c>
      <c r="W11" s="8">
        <v>75</v>
      </c>
      <c r="X11" s="8">
        <v>41</v>
      </c>
      <c r="Y11" s="8">
        <v>159.625</v>
      </c>
      <c r="Z11" s="8">
        <v>41.438888888888883</v>
      </c>
      <c r="AA11" s="8">
        <v>43.771944444444443</v>
      </c>
      <c r="AB11" s="8" t="s">
        <v>90</v>
      </c>
      <c r="AC11" s="8">
        <v>41</v>
      </c>
      <c r="AD11" s="8">
        <v>62780</v>
      </c>
      <c r="AE11" s="8">
        <v>71179</v>
      </c>
      <c r="AF11" s="8">
        <v>75</v>
      </c>
      <c r="AG11" s="8">
        <v>1</v>
      </c>
      <c r="AH11" s="8">
        <v>0.45700000000000002</v>
      </c>
      <c r="AI11" s="8">
        <v>1</v>
      </c>
      <c r="AJ11" s="8">
        <v>17</v>
      </c>
      <c r="AK11" s="8">
        <v>22</v>
      </c>
      <c r="AL11" s="8">
        <v>5</v>
      </c>
    </row>
    <row r="12" spans="1:38" x14ac:dyDescent="0.35">
      <c r="A12" s="8" t="s">
        <v>1430</v>
      </c>
      <c r="B12" s="8">
        <v>312768.00229999982</v>
      </c>
      <c r="C12" s="8">
        <v>6395155.4093999993</v>
      </c>
      <c r="D12" s="8">
        <v>7372705</v>
      </c>
      <c r="E12" s="8" t="s">
        <v>1431</v>
      </c>
      <c r="F12" s="8" t="s">
        <v>1432</v>
      </c>
      <c r="G12" s="8">
        <v>140509</v>
      </c>
      <c r="H12" s="8">
        <v>2</v>
      </c>
      <c r="I12" s="8" t="s">
        <v>1433</v>
      </c>
      <c r="J12" s="8" t="s">
        <v>1434</v>
      </c>
      <c r="K12" s="8">
        <v>148929</v>
      </c>
      <c r="L12" s="8">
        <v>2</v>
      </c>
      <c r="M12" s="8">
        <v>8420</v>
      </c>
      <c r="N12" s="8" t="s">
        <v>1435</v>
      </c>
      <c r="O12" s="8" t="s">
        <v>1436</v>
      </c>
      <c r="P12" s="8">
        <v>207810</v>
      </c>
      <c r="Q12" s="8">
        <v>3</v>
      </c>
      <c r="R12" s="8">
        <v>67301</v>
      </c>
      <c r="S12" s="8">
        <v>0.125</v>
      </c>
      <c r="T12" s="8">
        <v>0.4</v>
      </c>
      <c r="U12" s="8">
        <v>24</v>
      </c>
      <c r="V12" s="8">
        <v>1</v>
      </c>
      <c r="W12" s="8">
        <v>60</v>
      </c>
      <c r="X12" s="8">
        <v>36</v>
      </c>
      <c r="Y12" s="8">
        <v>152.703</v>
      </c>
      <c r="Z12" s="8">
        <v>39.030277777777783</v>
      </c>
      <c r="AA12" s="8">
        <v>41.369166666666658</v>
      </c>
      <c r="AB12" s="8" t="s">
        <v>90</v>
      </c>
      <c r="AC12" s="8">
        <v>39</v>
      </c>
      <c r="AD12" s="8">
        <v>54109</v>
      </c>
      <c r="AE12" s="8">
        <v>62529</v>
      </c>
      <c r="AF12" s="8">
        <v>60</v>
      </c>
      <c r="AG12" s="8">
        <v>1</v>
      </c>
      <c r="AH12" s="8">
        <v>0.4</v>
      </c>
      <c r="AI12" s="8">
        <v>1</v>
      </c>
      <c r="AJ12" s="8">
        <v>15</v>
      </c>
      <c r="AK12" s="8">
        <v>19</v>
      </c>
      <c r="AL12" s="8">
        <v>4</v>
      </c>
    </row>
    <row r="13" spans="1:38" x14ac:dyDescent="0.35">
      <c r="A13" s="8" t="s">
        <v>1437</v>
      </c>
      <c r="B13" s="8">
        <v>313940.40610000031</v>
      </c>
      <c r="C13" s="8">
        <v>6397492.4796999991</v>
      </c>
      <c r="D13" s="8">
        <v>2327956</v>
      </c>
      <c r="E13" s="8" t="s">
        <v>1438</v>
      </c>
      <c r="F13" s="8" t="s">
        <v>1439</v>
      </c>
      <c r="G13" s="8">
        <v>117004</v>
      </c>
      <c r="H13" s="8">
        <v>2</v>
      </c>
      <c r="I13" s="8" t="s">
        <v>1440</v>
      </c>
      <c r="J13" s="8" t="s">
        <v>1441</v>
      </c>
      <c r="K13" s="8">
        <v>125479</v>
      </c>
      <c r="L13" s="8">
        <v>2</v>
      </c>
      <c r="M13" s="8">
        <v>8475</v>
      </c>
      <c r="N13" s="8" t="s">
        <v>1442</v>
      </c>
      <c r="O13" s="8" t="s">
        <v>1443</v>
      </c>
      <c r="P13" s="8">
        <v>151614</v>
      </c>
      <c r="Q13" s="8">
        <v>2</v>
      </c>
      <c r="R13" s="8">
        <v>34610</v>
      </c>
      <c r="S13" s="8">
        <v>0.245</v>
      </c>
      <c r="T13" s="8">
        <v>0.39400000000000002</v>
      </c>
      <c r="U13" s="8">
        <v>24</v>
      </c>
      <c r="V13" s="8">
        <v>1</v>
      </c>
      <c r="W13" s="8">
        <v>60</v>
      </c>
      <c r="X13" s="8">
        <v>36</v>
      </c>
      <c r="Y13" s="8">
        <v>212.64699999999999</v>
      </c>
      <c r="Z13" s="8">
        <v>32.501111111111108</v>
      </c>
      <c r="AA13" s="8">
        <v>34.855277777777779</v>
      </c>
      <c r="AB13" s="8" t="s">
        <v>90</v>
      </c>
      <c r="AC13" s="8">
        <v>32</v>
      </c>
      <c r="AD13" s="8">
        <v>30604</v>
      </c>
      <c r="AE13" s="8">
        <v>39079</v>
      </c>
      <c r="AF13" s="8">
        <v>60</v>
      </c>
      <c r="AG13" s="8">
        <v>1</v>
      </c>
      <c r="AH13" s="8">
        <v>0.39400000000000002</v>
      </c>
      <c r="AI13" s="8">
        <v>1</v>
      </c>
      <c r="AJ13" s="8">
        <v>9</v>
      </c>
      <c r="AK13" s="8">
        <v>13</v>
      </c>
      <c r="AL13" s="8">
        <v>4</v>
      </c>
    </row>
    <row r="14" spans="1:38" x14ac:dyDescent="0.35">
      <c r="A14" s="8" t="s">
        <v>1444</v>
      </c>
      <c r="B14" s="8">
        <v>316469.27479999978</v>
      </c>
      <c r="C14" s="8">
        <v>6401035.5731000006</v>
      </c>
      <c r="D14" s="8">
        <v>4739210</v>
      </c>
      <c r="E14" s="8" t="s">
        <v>1445</v>
      </c>
      <c r="F14" s="8" t="s">
        <v>1446</v>
      </c>
      <c r="G14" s="8">
        <v>109480</v>
      </c>
      <c r="H14" s="8">
        <v>2</v>
      </c>
      <c r="I14" s="8" t="s">
        <v>1447</v>
      </c>
      <c r="J14" s="8" t="s">
        <v>1448</v>
      </c>
      <c r="K14" s="8">
        <v>118079</v>
      </c>
      <c r="L14" s="8">
        <v>2</v>
      </c>
      <c r="M14" s="8">
        <v>8599</v>
      </c>
      <c r="N14" s="8" t="s">
        <v>1449</v>
      </c>
      <c r="O14" s="8" t="s">
        <v>1450</v>
      </c>
      <c r="P14" s="8">
        <v>146448</v>
      </c>
      <c r="Q14" s="8">
        <v>2</v>
      </c>
      <c r="R14" s="8">
        <v>36968</v>
      </c>
      <c r="S14" s="8">
        <v>0.23300000000000001</v>
      </c>
      <c r="T14" s="8">
        <v>0.61299999999999999</v>
      </c>
      <c r="U14" s="8">
        <v>32</v>
      </c>
      <c r="V14" s="8">
        <v>1</v>
      </c>
      <c r="W14" s="8">
        <v>52</v>
      </c>
      <c r="X14" s="8">
        <v>20</v>
      </c>
      <c r="Y14" s="8">
        <v>0</v>
      </c>
      <c r="Z14" s="8">
        <v>30.411111111111111</v>
      </c>
      <c r="AA14" s="8">
        <v>32.799722222222222</v>
      </c>
      <c r="AB14" s="8" t="s">
        <v>47</v>
      </c>
      <c r="AC14" s="8">
        <v>30</v>
      </c>
      <c r="AD14" s="8">
        <v>23080</v>
      </c>
      <c r="AE14" s="8">
        <v>31679</v>
      </c>
      <c r="AF14" s="8">
        <v>52</v>
      </c>
      <c r="AG14" s="8">
        <v>1</v>
      </c>
      <c r="AH14" s="8">
        <v>0.61299999999999999</v>
      </c>
      <c r="AI14" s="8">
        <v>1</v>
      </c>
      <c r="AJ14" s="8">
        <v>6</v>
      </c>
      <c r="AK14" s="8">
        <v>11</v>
      </c>
      <c r="AL14" s="8">
        <v>5</v>
      </c>
    </row>
    <row r="15" spans="1:38" x14ac:dyDescent="0.35">
      <c r="A15" s="8" t="s">
        <v>1451</v>
      </c>
      <c r="B15" s="8">
        <v>314330.5103000002</v>
      </c>
      <c r="C15" s="8">
        <v>6400290.0025000004</v>
      </c>
      <c r="D15" s="8">
        <v>4731214</v>
      </c>
      <c r="E15" s="8" t="s">
        <v>1452</v>
      </c>
      <c r="F15" s="8" t="s">
        <v>1453</v>
      </c>
      <c r="G15" s="8">
        <v>113296</v>
      </c>
      <c r="H15" s="8">
        <v>2</v>
      </c>
      <c r="I15" s="8" t="s">
        <v>1454</v>
      </c>
      <c r="J15" s="8" t="s">
        <v>1455</v>
      </c>
      <c r="K15" s="8">
        <v>121919</v>
      </c>
      <c r="L15" s="8">
        <v>2</v>
      </c>
      <c r="M15" s="8">
        <v>8623</v>
      </c>
      <c r="N15" s="8" t="s">
        <v>1456</v>
      </c>
      <c r="O15" s="8" t="s">
        <v>1457</v>
      </c>
      <c r="P15" s="8">
        <v>148361</v>
      </c>
      <c r="Q15" s="8">
        <v>2</v>
      </c>
      <c r="R15" s="8">
        <v>35065</v>
      </c>
      <c r="S15" s="8">
        <v>0.246</v>
      </c>
      <c r="T15" s="8">
        <v>0.38700000000000001</v>
      </c>
      <c r="U15" s="8">
        <v>13</v>
      </c>
      <c r="V15" s="8">
        <v>1</v>
      </c>
      <c r="W15" s="8">
        <v>34</v>
      </c>
      <c r="X15" s="8">
        <v>21</v>
      </c>
      <c r="Y15" s="8">
        <v>0</v>
      </c>
      <c r="Z15" s="8">
        <v>31.47111111111111</v>
      </c>
      <c r="AA15" s="8">
        <v>33.866388888888892</v>
      </c>
      <c r="AB15" s="8" t="s">
        <v>47</v>
      </c>
      <c r="AC15" s="8">
        <v>31</v>
      </c>
      <c r="AD15" s="8">
        <v>26896</v>
      </c>
      <c r="AE15" s="8">
        <v>35519</v>
      </c>
      <c r="AF15" s="8">
        <v>34</v>
      </c>
      <c r="AG15" s="8">
        <v>1</v>
      </c>
      <c r="AH15" s="8">
        <v>0.38700000000000001</v>
      </c>
      <c r="AI15" s="8">
        <v>1</v>
      </c>
      <c r="AJ15" s="8">
        <v>7</v>
      </c>
      <c r="AK15" s="8">
        <v>12</v>
      </c>
      <c r="AL15" s="8">
        <v>5</v>
      </c>
    </row>
    <row r="16" spans="1:38" x14ac:dyDescent="0.35">
      <c r="A16" s="8" t="s">
        <v>1458</v>
      </c>
      <c r="B16" s="8">
        <v>316673.21899999958</v>
      </c>
      <c r="C16" s="8">
        <v>6394106.6345000006</v>
      </c>
      <c r="D16" s="8">
        <v>2038174</v>
      </c>
      <c r="E16" s="8" t="s">
        <v>1459</v>
      </c>
      <c r="F16" s="8" t="s">
        <v>1460</v>
      </c>
      <c r="G16" s="8">
        <v>166796</v>
      </c>
      <c r="H16" s="8">
        <v>2</v>
      </c>
      <c r="I16" s="8" t="s">
        <v>1461</v>
      </c>
      <c r="J16" s="8" t="s">
        <v>87</v>
      </c>
      <c r="K16" s="8">
        <v>175419</v>
      </c>
      <c r="L16" s="8">
        <v>3</v>
      </c>
      <c r="M16" s="8">
        <v>8623</v>
      </c>
      <c r="N16" s="8" t="s">
        <v>1462</v>
      </c>
      <c r="O16" s="8" t="s">
        <v>1463</v>
      </c>
      <c r="P16" s="8">
        <v>216078</v>
      </c>
      <c r="Q16" s="8">
        <v>3</v>
      </c>
      <c r="R16" s="8">
        <v>49282</v>
      </c>
      <c r="S16" s="8">
        <v>0.17499999999999999</v>
      </c>
      <c r="T16" s="8">
        <v>0.38</v>
      </c>
      <c r="U16" s="8">
        <v>23</v>
      </c>
      <c r="V16" s="8">
        <v>1</v>
      </c>
      <c r="W16" s="8">
        <v>60</v>
      </c>
      <c r="X16" s="8">
        <v>37</v>
      </c>
      <c r="Y16" s="8">
        <v>154.66200000000001</v>
      </c>
      <c r="Z16" s="8">
        <v>46.332222222222228</v>
      </c>
      <c r="AA16" s="8">
        <v>48.727499999999999</v>
      </c>
      <c r="AB16" s="8" t="s">
        <v>90</v>
      </c>
      <c r="AC16" s="8">
        <v>46</v>
      </c>
      <c r="AD16" s="8">
        <v>80396</v>
      </c>
      <c r="AE16" s="8">
        <v>86214</v>
      </c>
      <c r="AF16" s="8">
        <v>60</v>
      </c>
      <c r="AG16" s="8">
        <v>1</v>
      </c>
      <c r="AH16" s="8">
        <v>0.38</v>
      </c>
      <c r="AI16" s="8">
        <v>1</v>
      </c>
      <c r="AJ16" s="8">
        <v>21</v>
      </c>
      <c r="AK16" s="8">
        <v>24</v>
      </c>
      <c r="AL16" s="8">
        <v>3</v>
      </c>
    </row>
    <row r="17" spans="1:38" x14ac:dyDescent="0.35">
      <c r="A17" s="8" t="s">
        <v>1464</v>
      </c>
      <c r="B17" s="8">
        <v>308170.30140000017</v>
      </c>
      <c r="C17" s="8">
        <v>6390756.7630000003</v>
      </c>
      <c r="D17" s="8">
        <v>2313394</v>
      </c>
      <c r="E17" s="8" t="s">
        <v>1465</v>
      </c>
      <c r="F17" s="8" t="s">
        <v>1466</v>
      </c>
      <c r="G17" s="8">
        <v>160700</v>
      </c>
      <c r="H17" s="8">
        <v>2</v>
      </c>
      <c r="I17" s="8" t="s">
        <v>1467</v>
      </c>
      <c r="J17" s="8" t="s">
        <v>1468</v>
      </c>
      <c r="K17" s="8">
        <v>169424</v>
      </c>
      <c r="L17" s="8">
        <v>2</v>
      </c>
      <c r="M17" s="8">
        <v>8724</v>
      </c>
      <c r="N17" s="8" t="s">
        <v>1469</v>
      </c>
      <c r="O17" s="8" t="s">
        <v>1470</v>
      </c>
      <c r="P17" s="8">
        <v>225494</v>
      </c>
      <c r="Q17" s="8">
        <v>3</v>
      </c>
      <c r="R17" s="8">
        <v>64794</v>
      </c>
      <c r="S17" s="8">
        <v>0.13500000000000001</v>
      </c>
      <c r="T17" s="8">
        <v>4.2999999999999997E-2</v>
      </c>
      <c r="U17" s="8">
        <v>2</v>
      </c>
      <c r="V17" s="8">
        <v>1</v>
      </c>
      <c r="W17" s="8">
        <v>42</v>
      </c>
      <c r="X17" s="8">
        <v>40</v>
      </c>
      <c r="Y17" s="8">
        <v>365.86900000000003</v>
      </c>
      <c r="Z17" s="8">
        <v>44.638888888888893</v>
      </c>
      <c r="AA17" s="8">
        <v>47.062222222222218</v>
      </c>
      <c r="AB17" s="8" t="s">
        <v>90</v>
      </c>
      <c r="AC17" s="8">
        <v>44</v>
      </c>
      <c r="AD17" s="8">
        <v>74300</v>
      </c>
      <c r="AE17" s="8">
        <v>83024</v>
      </c>
      <c r="AF17" s="8">
        <v>42</v>
      </c>
      <c r="AG17" s="8">
        <v>1</v>
      </c>
      <c r="AH17" s="8">
        <v>4.2999999999999997E-2</v>
      </c>
      <c r="AI17" s="8">
        <v>1</v>
      </c>
      <c r="AJ17" s="8">
        <v>21</v>
      </c>
      <c r="AK17" s="8">
        <v>24</v>
      </c>
      <c r="AL17" s="8">
        <v>3</v>
      </c>
    </row>
    <row r="18" spans="1:38" x14ac:dyDescent="0.35">
      <c r="A18" s="8" t="s">
        <v>1471</v>
      </c>
      <c r="B18" s="8">
        <v>314325.91119999997</v>
      </c>
      <c r="C18" s="8">
        <v>6394969.8541000001</v>
      </c>
      <c r="D18" s="8">
        <v>7373358</v>
      </c>
      <c r="E18" s="8" t="s">
        <v>1472</v>
      </c>
      <c r="F18" s="8" t="s">
        <v>1473</v>
      </c>
      <c r="G18" s="8">
        <v>155492</v>
      </c>
      <c r="H18" s="8">
        <v>2</v>
      </c>
      <c r="I18" s="8" t="s">
        <v>1474</v>
      </c>
      <c r="J18" s="8" t="s">
        <v>1475</v>
      </c>
      <c r="K18" s="8">
        <v>164354</v>
      </c>
      <c r="L18" s="8">
        <v>2</v>
      </c>
      <c r="M18" s="8">
        <v>8862</v>
      </c>
      <c r="N18" s="8" t="s">
        <v>1476</v>
      </c>
      <c r="O18" s="8" t="s">
        <v>1477</v>
      </c>
      <c r="P18" s="8">
        <v>215345</v>
      </c>
      <c r="Q18" s="8">
        <v>3</v>
      </c>
      <c r="R18" s="8">
        <v>59853</v>
      </c>
      <c r="S18" s="8">
        <v>0.14799999999999999</v>
      </c>
      <c r="T18" s="8">
        <v>0.35499999999999998</v>
      </c>
      <c r="U18" s="8">
        <v>21</v>
      </c>
      <c r="V18" s="8">
        <v>1</v>
      </c>
      <c r="W18" s="8">
        <v>60</v>
      </c>
      <c r="X18" s="8">
        <v>39</v>
      </c>
      <c r="Y18" s="8">
        <v>184.04499999999999</v>
      </c>
      <c r="Z18" s="8">
        <v>43.19222222222222</v>
      </c>
      <c r="AA18" s="8">
        <v>45.653888888888893</v>
      </c>
      <c r="AB18" s="8" t="s">
        <v>90</v>
      </c>
      <c r="AC18" s="8">
        <v>43</v>
      </c>
      <c r="AD18" s="8">
        <v>69092</v>
      </c>
      <c r="AE18" s="8">
        <v>77954</v>
      </c>
      <c r="AF18" s="8">
        <v>60</v>
      </c>
      <c r="AG18" s="8">
        <v>1</v>
      </c>
      <c r="AH18" s="8">
        <v>0.35499999999999998</v>
      </c>
      <c r="AI18" s="8">
        <v>1</v>
      </c>
      <c r="AJ18" s="8">
        <v>19</v>
      </c>
      <c r="AK18" s="8">
        <v>24</v>
      </c>
      <c r="AL18" s="8">
        <v>5</v>
      </c>
    </row>
    <row r="19" spans="1:38" x14ac:dyDescent="0.35">
      <c r="A19" s="8" t="s">
        <v>1478</v>
      </c>
      <c r="B19" s="8">
        <v>317287.38729999959</v>
      </c>
      <c r="C19" s="8">
        <v>6400280.9696999993</v>
      </c>
      <c r="D19" s="8">
        <v>2335112</v>
      </c>
      <c r="E19" s="8" t="s">
        <v>1479</v>
      </c>
      <c r="F19" s="8" t="s">
        <v>1480</v>
      </c>
      <c r="G19" s="8">
        <v>107306</v>
      </c>
      <c r="H19" s="8">
        <v>2</v>
      </c>
      <c r="I19" s="8" t="s">
        <v>1481</v>
      </c>
      <c r="J19" s="8" t="s">
        <v>1482</v>
      </c>
      <c r="K19" s="8">
        <v>116179</v>
      </c>
      <c r="L19" s="8">
        <v>2</v>
      </c>
      <c r="M19" s="8">
        <v>8873</v>
      </c>
      <c r="N19" s="8" t="s">
        <v>1483</v>
      </c>
      <c r="O19" s="8" t="s">
        <v>1484</v>
      </c>
      <c r="P19" s="8">
        <v>141253</v>
      </c>
      <c r="Q19" s="8">
        <v>2</v>
      </c>
      <c r="R19" s="8">
        <v>33947</v>
      </c>
      <c r="S19" s="8">
        <v>0.26100000000000001</v>
      </c>
      <c r="T19" s="8">
        <v>0.27100000000000002</v>
      </c>
      <c r="U19" s="8">
        <v>14</v>
      </c>
      <c r="V19" s="8">
        <v>1</v>
      </c>
      <c r="W19" s="8">
        <v>52</v>
      </c>
      <c r="X19" s="8">
        <v>38</v>
      </c>
      <c r="Y19" s="8">
        <v>363.02199999999999</v>
      </c>
      <c r="Z19" s="8">
        <v>29.807222222222219</v>
      </c>
      <c r="AA19" s="8">
        <v>32.271944444444443</v>
      </c>
      <c r="AB19" s="8" t="s">
        <v>90</v>
      </c>
      <c r="AC19" s="8">
        <v>29</v>
      </c>
      <c r="AD19" s="8">
        <v>20906</v>
      </c>
      <c r="AE19" s="8">
        <v>29779</v>
      </c>
      <c r="AF19" s="8">
        <v>52</v>
      </c>
      <c r="AG19" s="8">
        <v>1</v>
      </c>
      <c r="AH19" s="8">
        <v>0.27100000000000002</v>
      </c>
      <c r="AI19" s="8">
        <v>1</v>
      </c>
      <c r="AJ19" s="8">
        <v>6</v>
      </c>
      <c r="AK19" s="8">
        <v>10</v>
      </c>
      <c r="AL19" s="8">
        <v>4</v>
      </c>
    </row>
    <row r="20" spans="1:38" x14ac:dyDescent="0.35">
      <c r="A20" s="8" t="s">
        <v>1485</v>
      </c>
      <c r="B20" s="8">
        <v>317952.19569999998</v>
      </c>
      <c r="C20" s="8">
        <v>6397239.9630999994</v>
      </c>
      <c r="D20" s="8">
        <v>1876111</v>
      </c>
      <c r="E20" s="8" t="s">
        <v>1486</v>
      </c>
      <c r="F20" s="8" t="s">
        <v>1487</v>
      </c>
      <c r="G20" s="8">
        <v>120086</v>
      </c>
      <c r="H20" s="8">
        <v>2</v>
      </c>
      <c r="I20" s="8" t="s">
        <v>1488</v>
      </c>
      <c r="J20" s="8" t="s">
        <v>1489</v>
      </c>
      <c r="K20" s="8">
        <v>128979</v>
      </c>
      <c r="L20" s="8">
        <v>2</v>
      </c>
      <c r="M20" s="8">
        <v>8893</v>
      </c>
      <c r="N20" s="8" t="s">
        <v>1490</v>
      </c>
      <c r="O20" s="8" t="s">
        <v>1491</v>
      </c>
      <c r="P20" s="8">
        <v>129917</v>
      </c>
      <c r="Q20" s="8">
        <v>2</v>
      </c>
      <c r="R20" s="8">
        <v>9831</v>
      </c>
      <c r="S20" s="8">
        <v>0.90500000000000003</v>
      </c>
      <c r="T20" s="8">
        <v>0.41699999999999998</v>
      </c>
      <c r="U20" s="8">
        <v>31</v>
      </c>
      <c r="V20" s="8">
        <v>1</v>
      </c>
      <c r="W20" s="8">
        <v>75</v>
      </c>
      <c r="X20" s="8">
        <v>44</v>
      </c>
      <c r="Y20" s="8">
        <v>360.69400000000002</v>
      </c>
      <c r="Z20" s="8">
        <v>33.357222222222227</v>
      </c>
      <c r="AA20" s="8">
        <v>35.827500000000001</v>
      </c>
      <c r="AB20" s="8" t="s">
        <v>90</v>
      </c>
      <c r="AC20" s="8">
        <v>33</v>
      </c>
      <c r="AD20" s="8">
        <v>33686</v>
      </c>
      <c r="AE20" s="8">
        <v>42579</v>
      </c>
      <c r="AF20" s="8">
        <v>75</v>
      </c>
      <c r="AG20" s="8">
        <v>1</v>
      </c>
      <c r="AH20" s="8">
        <v>0.41699999999999998</v>
      </c>
      <c r="AI20" s="8">
        <v>1</v>
      </c>
      <c r="AJ20" s="8">
        <v>9</v>
      </c>
      <c r="AK20" s="8">
        <v>14</v>
      </c>
      <c r="AL20" s="8">
        <v>5</v>
      </c>
    </row>
    <row r="21" spans="1:38" x14ac:dyDescent="0.35">
      <c r="A21" s="8" t="s">
        <v>1492</v>
      </c>
      <c r="B21" s="8">
        <v>314809.86319999961</v>
      </c>
      <c r="C21" s="8">
        <v>6393391.8998000007</v>
      </c>
      <c r="D21" s="8">
        <v>7566296</v>
      </c>
      <c r="E21" s="8" t="s">
        <v>1493</v>
      </c>
      <c r="F21" s="8" t="s">
        <v>1494</v>
      </c>
      <c r="G21" s="8">
        <v>124467</v>
      </c>
      <c r="H21" s="8">
        <v>2</v>
      </c>
      <c r="I21" s="8" t="s">
        <v>360</v>
      </c>
      <c r="J21" s="8" t="s">
        <v>361</v>
      </c>
      <c r="K21" s="8">
        <v>133394</v>
      </c>
      <c r="L21" s="8">
        <v>2</v>
      </c>
      <c r="M21" s="8">
        <v>8927</v>
      </c>
      <c r="N21" s="8" t="s">
        <v>1495</v>
      </c>
      <c r="O21" s="8" t="s">
        <v>1496</v>
      </c>
      <c r="P21" s="8">
        <v>158172</v>
      </c>
      <c r="Q21" s="8">
        <v>2</v>
      </c>
      <c r="R21" s="8">
        <v>33705</v>
      </c>
      <c r="S21" s="8">
        <v>0.26500000000000001</v>
      </c>
      <c r="T21" s="8">
        <v>0.47099999999999997</v>
      </c>
      <c r="U21" s="8">
        <v>20</v>
      </c>
      <c r="V21" s="8">
        <v>1</v>
      </c>
      <c r="W21" s="8">
        <v>42</v>
      </c>
      <c r="X21" s="8">
        <v>22</v>
      </c>
      <c r="Y21" s="8">
        <v>0</v>
      </c>
      <c r="Z21" s="8">
        <v>34.57416666666667</v>
      </c>
      <c r="AA21" s="8">
        <v>37.053888888888878</v>
      </c>
      <c r="AB21" s="8" t="s">
        <v>47</v>
      </c>
      <c r="AC21" s="8">
        <v>34</v>
      </c>
      <c r="AD21" s="8">
        <v>38067</v>
      </c>
      <c r="AE21" s="8">
        <v>46994</v>
      </c>
      <c r="AF21" s="8">
        <v>42</v>
      </c>
      <c r="AG21" s="8">
        <v>1</v>
      </c>
      <c r="AH21" s="8">
        <v>0.47099999999999997</v>
      </c>
      <c r="AI21" s="8">
        <v>1</v>
      </c>
      <c r="AJ21" s="8">
        <v>11</v>
      </c>
      <c r="AK21" s="8">
        <v>15</v>
      </c>
      <c r="AL21" s="8">
        <v>4</v>
      </c>
    </row>
    <row r="22" spans="1:38" x14ac:dyDescent="0.35">
      <c r="A22" s="8" t="s">
        <v>1497</v>
      </c>
      <c r="B22" s="8">
        <v>314480.88750000019</v>
      </c>
      <c r="C22" s="8">
        <v>6397035.7321000006</v>
      </c>
      <c r="D22" s="8">
        <v>1943692</v>
      </c>
      <c r="E22" s="8" t="s">
        <v>1498</v>
      </c>
      <c r="F22" s="8" t="s">
        <v>1499</v>
      </c>
      <c r="G22" s="8">
        <v>116428</v>
      </c>
      <c r="H22" s="8">
        <v>2</v>
      </c>
      <c r="I22" s="8" t="s">
        <v>1500</v>
      </c>
      <c r="J22" s="8" t="s">
        <v>1501</v>
      </c>
      <c r="K22" s="8">
        <v>125449</v>
      </c>
      <c r="L22" s="8">
        <v>2</v>
      </c>
      <c r="M22" s="8">
        <v>9021</v>
      </c>
      <c r="N22" s="8" t="s">
        <v>1502</v>
      </c>
      <c r="O22" s="8" t="s">
        <v>1503</v>
      </c>
      <c r="P22" s="8">
        <v>151325</v>
      </c>
      <c r="Q22" s="8">
        <v>2</v>
      </c>
      <c r="R22" s="8">
        <v>34897</v>
      </c>
      <c r="S22" s="8">
        <v>0.25900000000000001</v>
      </c>
      <c r="T22" s="8">
        <v>0.63700000000000001</v>
      </c>
      <c r="U22" s="8">
        <v>38</v>
      </c>
      <c r="V22" s="8">
        <v>1</v>
      </c>
      <c r="W22" s="8">
        <v>60</v>
      </c>
      <c r="X22" s="8">
        <v>22</v>
      </c>
      <c r="Y22" s="8">
        <v>0</v>
      </c>
      <c r="Z22" s="8">
        <v>32.341111111111111</v>
      </c>
      <c r="AA22" s="8">
        <v>34.846944444444453</v>
      </c>
      <c r="AB22" s="8" t="s">
        <v>47</v>
      </c>
      <c r="AC22" s="8">
        <v>32</v>
      </c>
      <c r="AD22" s="8">
        <v>30028</v>
      </c>
      <c r="AE22" s="8">
        <v>39049</v>
      </c>
      <c r="AF22" s="8">
        <v>60</v>
      </c>
      <c r="AG22" s="8">
        <v>1</v>
      </c>
      <c r="AH22" s="8">
        <v>0.63700000000000001</v>
      </c>
      <c r="AI22" s="8">
        <v>1</v>
      </c>
      <c r="AJ22" s="8">
        <v>8</v>
      </c>
      <c r="AK22" s="8">
        <v>13</v>
      </c>
      <c r="AL22" s="8">
        <v>5</v>
      </c>
    </row>
    <row r="23" spans="1:38" x14ac:dyDescent="0.35">
      <c r="A23" s="8" t="s">
        <v>1504</v>
      </c>
      <c r="B23" s="8">
        <v>305780.11000000028</v>
      </c>
      <c r="C23" s="8">
        <v>6400357.2492000004</v>
      </c>
      <c r="D23" s="8">
        <v>7618270</v>
      </c>
      <c r="E23" s="8" t="s">
        <v>1505</v>
      </c>
      <c r="F23" s="8" t="s">
        <v>1506</v>
      </c>
      <c r="G23" s="8">
        <v>118466</v>
      </c>
      <c r="H23" s="8">
        <v>2</v>
      </c>
      <c r="I23" s="8" t="s">
        <v>1507</v>
      </c>
      <c r="J23" s="8" t="s">
        <v>1508</v>
      </c>
      <c r="K23" s="8">
        <v>127549</v>
      </c>
      <c r="L23" s="8">
        <v>2</v>
      </c>
      <c r="M23" s="8">
        <v>9083</v>
      </c>
      <c r="N23" s="8" t="s">
        <v>1509</v>
      </c>
      <c r="O23" s="8" t="s">
        <v>1510</v>
      </c>
      <c r="P23" s="8">
        <v>145881</v>
      </c>
      <c r="Q23" s="8">
        <v>2</v>
      </c>
      <c r="R23" s="8">
        <v>27415</v>
      </c>
      <c r="S23" s="8">
        <v>0.33100000000000002</v>
      </c>
      <c r="T23" s="8">
        <v>0.58499999999999996</v>
      </c>
      <c r="U23" s="8">
        <v>30</v>
      </c>
      <c r="V23" s="8">
        <v>1</v>
      </c>
      <c r="W23" s="8">
        <v>52</v>
      </c>
      <c r="X23" s="8">
        <v>22</v>
      </c>
      <c r="Y23" s="8">
        <v>0</v>
      </c>
      <c r="Z23" s="8">
        <v>32.907222222222217</v>
      </c>
      <c r="AA23" s="8">
        <v>35.430277777777768</v>
      </c>
      <c r="AB23" s="8" t="s">
        <v>47</v>
      </c>
      <c r="AC23" s="8">
        <v>32</v>
      </c>
      <c r="AD23" s="8">
        <v>32066</v>
      </c>
      <c r="AE23" s="8">
        <v>41149</v>
      </c>
      <c r="AF23" s="8">
        <v>52</v>
      </c>
      <c r="AG23" s="8">
        <v>1</v>
      </c>
      <c r="AH23" s="8">
        <v>0.58499999999999996</v>
      </c>
      <c r="AI23" s="8">
        <v>1</v>
      </c>
      <c r="AJ23" s="8">
        <v>9</v>
      </c>
      <c r="AK23" s="8">
        <v>13</v>
      </c>
      <c r="AL23" s="8">
        <v>4</v>
      </c>
    </row>
    <row r="24" spans="1:38" x14ac:dyDescent="0.35">
      <c r="A24" s="8" t="s">
        <v>1511</v>
      </c>
      <c r="B24" s="8">
        <v>313797.64099999983</v>
      </c>
      <c r="C24" s="8">
        <v>6396072.6333000008</v>
      </c>
      <c r="D24" s="8">
        <v>7514989</v>
      </c>
      <c r="E24" s="8" t="s">
        <v>1512</v>
      </c>
      <c r="F24" s="8" t="s">
        <v>1513</v>
      </c>
      <c r="G24" s="8">
        <v>114900</v>
      </c>
      <c r="H24" s="8">
        <v>2</v>
      </c>
      <c r="I24" s="8" t="s">
        <v>1244</v>
      </c>
      <c r="J24" s="8" t="s">
        <v>1245</v>
      </c>
      <c r="K24" s="8">
        <v>124069</v>
      </c>
      <c r="L24" s="8">
        <v>2</v>
      </c>
      <c r="M24" s="8">
        <v>9169</v>
      </c>
      <c r="N24" s="8" t="s">
        <v>1514</v>
      </c>
      <c r="O24" s="8" t="s">
        <v>1515</v>
      </c>
      <c r="P24" s="8">
        <v>150406</v>
      </c>
      <c r="Q24" s="8">
        <v>2</v>
      </c>
      <c r="R24" s="8">
        <v>35506</v>
      </c>
      <c r="S24" s="8">
        <v>0.25800000000000001</v>
      </c>
      <c r="T24" s="8">
        <v>0.45400000000000001</v>
      </c>
      <c r="U24" s="8">
        <v>19</v>
      </c>
      <c r="V24" s="8">
        <v>1</v>
      </c>
      <c r="W24" s="8">
        <v>42</v>
      </c>
      <c r="X24" s="8">
        <v>23</v>
      </c>
      <c r="Y24" s="8">
        <v>0</v>
      </c>
      <c r="Z24" s="8">
        <v>31.916666666666671</v>
      </c>
      <c r="AA24" s="8">
        <v>34.463611111111113</v>
      </c>
      <c r="AB24" s="8" t="s">
        <v>47</v>
      </c>
      <c r="AC24" s="8">
        <v>31</v>
      </c>
      <c r="AD24" s="8">
        <v>28500</v>
      </c>
      <c r="AE24" s="8">
        <v>37669</v>
      </c>
      <c r="AF24" s="8">
        <v>42</v>
      </c>
      <c r="AG24" s="8">
        <v>1</v>
      </c>
      <c r="AH24" s="8">
        <v>0.45400000000000001</v>
      </c>
      <c r="AI24" s="8">
        <v>1</v>
      </c>
      <c r="AJ24" s="8">
        <v>8</v>
      </c>
      <c r="AK24" s="8">
        <v>12</v>
      </c>
      <c r="AL24" s="8">
        <v>4</v>
      </c>
    </row>
    <row r="25" spans="1:38" x14ac:dyDescent="0.35">
      <c r="A25" s="8" t="s">
        <v>1516</v>
      </c>
      <c r="B25" s="8">
        <v>313291.37469999958</v>
      </c>
      <c r="C25" s="8">
        <v>6402605.3315999992</v>
      </c>
      <c r="D25" s="8">
        <v>2323821</v>
      </c>
      <c r="E25" s="8" t="s">
        <v>1517</v>
      </c>
      <c r="F25" s="8" t="s">
        <v>1518</v>
      </c>
      <c r="G25" s="8">
        <v>117578</v>
      </c>
      <c r="H25" s="8">
        <v>2</v>
      </c>
      <c r="I25" s="8" t="s">
        <v>1519</v>
      </c>
      <c r="J25" s="8" t="s">
        <v>1520</v>
      </c>
      <c r="K25" s="8">
        <v>126759</v>
      </c>
      <c r="L25" s="8">
        <v>2</v>
      </c>
      <c r="M25" s="8">
        <v>9181</v>
      </c>
      <c r="N25" s="8" t="s">
        <v>1521</v>
      </c>
      <c r="O25" s="8" t="s">
        <v>1522</v>
      </c>
      <c r="P25" s="8">
        <v>148812</v>
      </c>
      <c r="Q25" s="8">
        <v>2</v>
      </c>
      <c r="R25" s="8">
        <v>31234</v>
      </c>
      <c r="S25" s="8">
        <v>0.29399999999999998</v>
      </c>
      <c r="T25" s="8">
        <v>0.57899999999999996</v>
      </c>
      <c r="U25" s="8">
        <v>30</v>
      </c>
      <c r="V25" s="8">
        <v>1</v>
      </c>
      <c r="W25" s="8">
        <v>52</v>
      </c>
      <c r="X25" s="8">
        <v>22</v>
      </c>
      <c r="Y25" s="8">
        <v>0</v>
      </c>
      <c r="Z25" s="8">
        <v>32.660555555555547</v>
      </c>
      <c r="AA25" s="8">
        <v>35.210833333333333</v>
      </c>
      <c r="AB25" s="8" t="s">
        <v>47</v>
      </c>
      <c r="AC25" s="8">
        <v>32</v>
      </c>
      <c r="AD25" s="8">
        <v>31178</v>
      </c>
      <c r="AE25" s="8">
        <v>40359</v>
      </c>
      <c r="AF25" s="8">
        <v>52</v>
      </c>
      <c r="AG25" s="8">
        <v>1</v>
      </c>
      <c r="AH25" s="8">
        <v>0.57899999999999996</v>
      </c>
      <c r="AI25" s="8">
        <v>1</v>
      </c>
      <c r="AJ25" s="8">
        <v>9</v>
      </c>
      <c r="AK25" s="8">
        <v>13</v>
      </c>
      <c r="AL25" s="8">
        <v>4</v>
      </c>
    </row>
    <row r="26" spans="1:38" x14ac:dyDescent="0.35">
      <c r="A26" s="8" t="s">
        <v>1523</v>
      </c>
      <c r="B26" s="8">
        <v>312948.9578999998</v>
      </c>
      <c r="C26" s="8">
        <v>6396355.9316000007</v>
      </c>
      <c r="D26" s="8">
        <v>2317564</v>
      </c>
      <c r="E26" s="8" t="s">
        <v>1524</v>
      </c>
      <c r="F26" s="8" t="s">
        <v>1525</v>
      </c>
      <c r="G26" s="8">
        <v>114408</v>
      </c>
      <c r="H26" s="8">
        <v>2</v>
      </c>
      <c r="I26" s="8" t="s">
        <v>1526</v>
      </c>
      <c r="J26" s="8" t="s">
        <v>1527</v>
      </c>
      <c r="K26" s="8">
        <v>123624</v>
      </c>
      <c r="L26" s="8">
        <v>2</v>
      </c>
      <c r="M26" s="8">
        <v>9216</v>
      </c>
      <c r="N26" s="8" t="s">
        <v>1528</v>
      </c>
      <c r="O26" s="8" t="s">
        <v>1529</v>
      </c>
      <c r="P26" s="8">
        <v>143311</v>
      </c>
      <c r="Q26" s="8">
        <v>2</v>
      </c>
      <c r="R26" s="8">
        <v>28903</v>
      </c>
      <c r="S26" s="8">
        <v>0.31900000000000001</v>
      </c>
      <c r="T26" s="8">
        <v>0.33400000000000002</v>
      </c>
      <c r="U26" s="8">
        <v>11</v>
      </c>
      <c r="V26" s="8">
        <v>1</v>
      </c>
      <c r="W26" s="8">
        <v>34</v>
      </c>
      <c r="X26" s="8">
        <v>23</v>
      </c>
      <c r="Y26" s="8">
        <v>0</v>
      </c>
      <c r="Z26" s="8">
        <v>31.78</v>
      </c>
      <c r="AA26" s="8">
        <v>34.340000000000003</v>
      </c>
      <c r="AB26" s="8" t="s">
        <v>47</v>
      </c>
      <c r="AC26" s="8">
        <v>31</v>
      </c>
      <c r="AD26" s="8">
        <v>28008</v>
      </c>
      <c r="AE26" s="8">
        <v>37224</v>
      </c>
      <c r="AF26" s="8">
        <v>34</v>
      </c>
      <c r="AG26" s="8">
        <v>1</v>
      </c>
      <c r="AH26" s="8">
        <v>0.33400000000000002</v>
      </c>
      <c r="AI26" s="8">
        <v>1</v>
      </c>
      <c r="AJ26" s="8">
        <v>8</v>
      </c>
      <c r="AK26" s="8">
        <v>12</v>
      </c>
      <c r="AL26" s="8">
        <v>4</v>
      </c>
    </row>
    <row r="27" spans="1:38" x14ac:dyDescent="0.35">
      <c r="A27" s="8" t="s">
        <v>1530</v>
      </c>
      <c r="B27" s="8">
        <v>317098.99199999962</v>
      </c>
      <c r="C27" s="8">
        <v>6396645.4227000009</v>
      </c>
      <c r="D27" s="8">
        <v>7375205</v>
      </c>
      <c r="E27" s="8" t="s">
        <v>1531</v>
      </c>
      <c r="F27" s="8" t="s">
        <v>1532</v>
      </c>
      <c r="G27" s="8">
        <v>97911</v>
      </c>
      <c r="H27" s="8">
        <v>2</v>
      </c>
      <c r="I27" s="8" t="s">
        <v>1533</v>
      </c>
      <c r="J27" s="8" t="s">
        <v>1534</v>
      </c>
      <c r="K27" s="8">
        <v>107209</v>
      </c>
      <c r="L27" s="8">
        <v>2</v>
      </c>
      <c r="M27" s="8">
        <v>9298</v>
      </c>
      <c r="N27" s="8" t="s">
        <v>1535</v>
      </c>
      <c r="O27" s="8" t="s">
        <v>1536</v>
      </c>
      <c r="P27" s="8">
        <v>123826</v>
      </c>
      <c r="Q27" s="8">
        <v>2</v>
      </c>
      <c r="R27" s="8">
        <v>25915</v>
      </c>
      <c r="S27" s="8">
        <v>0.35899999999999999</v>
      </c>
      <c r="T27" s="8">
        <v>0.22</v>
      </c>
      <c r="U27" s="8">
        <v>11</v>
      </c>
      <c r="V27" s="8">
        <v>1</v>
      </c>
      <c r="W27" s="8">
        <v>52</v>
      </c>
      <c r="X27" s="8">
        <v>41</v>
      </c>
      <c r="Y27" s="8">
        <v>77.17</v>
      </c>
      <c r="Z27" s="8">
        <v>27.197500000000002</v>
      </c>
      <c r="AA27" s="8">
        <v>29.78027777777778</v>
      </c>
      <c r="AB27" s="8" t="s">
        <v>90</v>
      </c>
      <c r="AC27" s="8">
        <v>27</v>
      </c>
      <c r="AD27" s="8">
        <v>11511</v>
      </c>
      <c r="AE27" s="8">
        <v>20809</v>
      </c>
      <c r="AF27" s="8">
        <v>52</v>
      </c>
      <c r="AG27" s="8">
        <v>1</v>
      </c>
      <c r="AH27" s="8">
        <v>0.22</v>
      </c>
      <c r="AI27" s="8">
        <v>1</v>
      </c>
      <c r="AJ27" s="8">
        <v>3</v>
      </c>
      <c r="AK27" s="8">
        <v>8</v>
      </c>
      <c r="AL27" s="8">
        <v>5</v>
      </c>
    </row>
    <row r="28" spans="1:38" x14ac:dyDescent="0.35">
      <c r="A28" s="8" t="s">
        <v>1537</v>
      </c>
      <c r="B28" s="8">
        <v>317367.52969999978</v>
      </c>
      <c r="C28" s="8">
        <v>6398801.6654000003</v>
      </c>
      <c r="D28" s="8">
        <v>9537015</v>
      </c>
      <c r="E28" s="8" t="s">
        <v>1538</v>
      </c>
      <c r="F28" s="8" t="s">
        <v>1539</v>
      </c>
      <c r="G28" s="8">
        <v>120576</v>
      </c>
      <c r="H28" s="8">
        <v>2</v>
      </c>
      <c r="I28" s="8" t="s">
        <v>1540</v>
      </c>
      <c r="J28" s="8" t="s">
        <v>1541</v>
      </c>
      <c r="K28" s="8">
        <v>129939</v>
      </c>
      <c r="L28" s="8">
        <v>2</v>
      </c>
      <c r="M28" s="8">
        <v>9363</v>
      </c>
      <c r="N28" s="8" t="s">
        <v>1542</v>
      </c>
      <c r="O28" s="8" t="s">
        <v>1543</v>
      </c>
      <c r="P28" s="8">
        <v>153610</v>
      </c>
      <c r="Q28" s="8">
        <v>2</v>
      </c>
      <c r="R28" s="8">
        <v>33034</v>
      </c>
      <c r="S28" s="8">
        <v>0.28299999999999997</v>
      </c>
      <c r="T28" s="8">
        <v>0.32100000000000001</v>
      </c>
      <c r="U28" s="8">
        <v>11</v>
      </c>
      <c r="V28" s="8">
        <v>1</v>
      </c>
      <c r="W28" s="8">
        <v>34</v>
      </c>
      <c r="X28" s="8">
        <v>23</v>
      </c>
      <c r="Y28" s="8">
        <v>0</v>
      </c>
      <c r="Z28" s="8">
        <v>33.493333333333332</v>
      </c>
      <c r="AA28" s="8">
        <v>36.094166666666673</v>
      </c>
      <c r="AB28" s="8" t="s">
        <v>47</v>
      </c>
      <c r="AC28" s="8">
        <v>33</v>
      </c>
      <c r="AD28" s="8">
        <v>34176</v>
      </c>
      <c r="AE28" s="8">
        <v>43539</v>
      </c>
      <c r="AF28" s="8">
        <v>34</v>
      </c>
      <c r="AG28" s="8">
        <v>1</v>
      </c>
      <c r="AH28" s="8">
        <v>0.32100000000000001</v>
      </c>
      <c r="AI28" s="8">
        <v>1</v>
      </c>
      <c r="AJ28" s="8">
        <v>9</v>
      </c>
      <c r="AK28" s="8">
        <v>14</v>
      </c>
      <c r="AL28" s="8">
        <v>5</v>
      </c>
    </row>
    <row r="29" spans="1:38" x14ac:dyDescent="0.35">
      <c r="A29" s="8" t="s">
        <v>1544</v>
      </c>
      <c r="B29" s="8">
        <v>315150.54849999963</v>
      </c>
      <c r="C29" s="8">
        <v>6394518.0844999999</v>
      </c>
      <c r="D29" s="8">
        <v>2329138</v>
      </c>
      <c r="E29" s="8" t="s">
        <v>1545</v>
      </c>
      <c r="F29" s="8" t="s">
        <v>1546</v>
      </c>
      <c r="G29" s="8">
        <v>114489</v>
      </c>
      <c r="H29" s="8">
        <v>2</v>
      </c>
      <c r="I29" s="8" t="s">
        <v>1547</v>
      </c>
      <c r="J29" s="8" t="s">
        <v>1548</v>
      </c>
      <c r="K29" s="8">
        <v>123869</v>
      </c>
      <c r="L29" s="8">
        <v>2</v>
      </c>
      <c r="M29" s="8">
        <v>9380</v>
      </c>
      <c r="N29" s="8" t="s">
        <v>1549</v>
      </c>
      <c r="O29" s="8" t="s">
        <v>1550</v>
      </c>
      <c r="P29" s="8">
        <v>146997</v>
      </c>
      <c r="Q29" s="8">
        <v>2</v>
      </c>
      <c r="R29" s="8">
        <v>32508</v>
      </c>
      <c r="S29" s="8">
        <v>0.28899999999999998</v>
      </c>
      <c r="T29" s="8">
        <v>0.31900000000000001</v>
      </c>
      <c r="U29" s="8">
        <v>11</v>
      </c>
      <c r="V29" s="8">
        <v>1</v>
      </c>
      <c r="W29" s="8">
        <v>34</v>
      </c>
      <c r="X29" s="8">
        <v>23</v>
      </c>
      <c r="Y29" s="8">
        <v>0</v>
      </c>
      <c r="Z29" s="8">
        <v>31.802499999999998</v>
      </c>
      <c r="AA29" s="8">
        <v>34.408055555555563</v>
      </c>
      <c r="AB29" s="8" t="s">
        <v>47</v>
      </c>
      <c r="AC29" s="8">
        <v>31</v>
      </c>
      <c r="AD29" s="8">
        <v>28089</v>
      </c>
      <c r="AE29" s="8">
        <v>37469</v>
      </c>
      <c r="AF29" s="8">
        <v>34</v>
      </c>
      <c r="AG29" s="8">
        <v>1</v>
      </c>
      <c r="AH29" s="8">
        <v>0.31900000000000001</v>
      </c>
      <c r="AI29" s="8">
        <v>1</v>
      </c>
      <c r="AJ29" s="8">
        <v>8</v>
      </c>
      <c r="AK29" s="8">
        <v>12</v>
      </c>
      <c r="AL29" s="8">
        <v>4</v>
      </c>
    </row>
    <row r="30" spans="1:38" x14ac:dyDescent="0.35">
      <c r="A30" s="8" t="s">
        <v>1551</v>
      </c>
      <c r="B30" s="8">
        <v>310829.20220000017</v>
      </c>
      <c r="C30" s="8">
        <v>6400558.8848999999</v>
      </c>
      <c r="D30" s="8">
        <v>2327812</v>
      </c>
      <c r="E30" s="8" t="s">
        <v>1552</v>
      </c>
      <c r="F30" s="8" t="s">
        <v>1553</v>
      </c>
      <c r="G30" s="8">
        <v>117902</v>
      </c>
      <c r="H30" s="8">
        <v>2</v>
      </c>
      <c r="I30" s="8" t="s">
        <v>1554</v>
      </c>
      <c r="J30" s="8" t="s">
        <v>1555</v>
      </c>
      <c r="K30" s="8">
        <v>127359</v>
      </c>
      <c r="L30" s="8">
        <v>2</v>
      </c>
      <c r="M30" s="8">
        <v>9457</v>
      </c>
      <c r="N30" s="8" t="s">
        <v>184</v>
      </c>
      <c r="O30" s="8" t="s">
        <v>185</v>
      </c>
      <c r="P30" s="8">
        <v>146901</v>
      </c>
      <c r="Q30" s="8">
        <v>2</v>
      </c>
      <c r="R30" s="8">
        <v>28999</v>
      </c>
      <c r="S30" s="8">
        <v>0.32600000000000001</v>
      </c>
      <c r="T30" s="8">
        <v>0.371</v>
      </c>
      <c r="U30" s="8">
        <v>28</v>
      </c>
      <c r="V30" s="8">
        <v>1</v>
      </c>
      <c r="W30" s="8">
        <v>75</v>
      </c>
      <c r="X30" s="8">
        <v>47</v>
      </c>
      <c r="Y30" s="8">
        <v>89.635000000000005</v>
      </c>
      <c r="Z30" s="8">
        <v>32.750555555555557</v>
      </c>
      <c r="AA30" s="8">
        <v>35.377499999999998</v>
      </c>
      <c r="AB30" s="8" t="s">
        <v>90</v>
      </c>
      <c r="AC30" s="8">
        <v>32</v>
      </c>
      <c r="AD30" s="8">
        <v>31502</v>
      </c>
      <c r="AE30" s="8">
        <v>40959</v>
      </c>
      <c r="AF30" s="8">
        <v>75</v>
      </c>
      <c r="AG30" s="8">
        <v>1</v>
      </c>
      <c r="AH30" s="8">
        <v>0.371</v>
      </c>
      <c r="AI30" s="8">
        <v>1</v>
      </c>
      <c r="AJ30" s="8">
        <v>9</v>
      </c>
      <c r="AK30" s="8">
        <v>13</v>
      </c>
      <c r="AL30" s="8">
        <v>4</v>
      </c>
    </row>
    <row r="31" spans="1:38" x14ac:dyDescent="0.35">
      <c r="A31" s="8" t="s">
        <v>1556</v>
      </c>
      <c r="B31" s="8">
        <v>317459.45179999992</v>
      </c>
      <c r="C31" s="8">
        <v>6395495.2251999993</v>
      </c>
      <c r="D31" s="8">
        <v>4689570</v>
      </c>
      <c r="E31" s="8" t="s">
        <v>1557</v>
      </c>
      <c r="F31" s="8" t="s">
        <v>1558</v>
      </c>
      <c r="G31" s="8">
        <v>105738</v>
      </c>
      <c r="H31" s="8">
        <v>2</v>
      </c>
      <c r="I31" s="8" t="s">
        <v>1559</v>
      </c>
      <c r="J31" s="8" t="s">
        <v>1560</v>
      </c>
      <c r="K31" s="8">
        <v>115229</v>
      </c>
      <c r="L31" s="8">
        <v>2</v>
      </c>
      <c r="M31" s="8">
        <v>9491</v>
      </c>
      <c r="N31" s="8" t="s">
        <v>1561</v>
      </c>
      <c r="O31" s="8" t="s">
        <v>1562</v>
      </c>
      <c r="P31" s="8">
        <v>137534</v>
      </c>
      <c r="Q31" s="8">
        <v>2</v>
      </c>
      <c r="R31" s="8">
        <v>31796</v>
      </c>
      <c r="S31" s="8">
        <v>0.29799999999999999</v>
      </c>
      <c r="T31" s="8">
        <v>0.56100000000000005</v>
      </c>
      <c r="U31" s="8">
        <v>29</v>
      </c>
      <c r="V31" s="8">
        <v>1</v>
      </c>
      <c r="W31" s="8">
        <v>52</v>
      </c>
      <c r="X31" s="8">
        <v>23</v>
      </c>
      <c r="Y31" s="8">
        <v>0</v>
      </c>
      <c r="Z31" s="8">
        <v>29.371666666666659</v>
      </c>
      <c r="AA31" s="8">
        <v>32.008055555555558</v>
      </c>
      <c r="AB31" s="8" t="s">
        <v>47</v>
      </c>
      <c r="AC31" s="8">
        <v>29</v>
      </c>
      <c r="AD31" s="8">
        <v>19338</v>
      </c>
      <c r="AE31" s="8">
        <v>28829</v>
      </c>
      <c r="AF31" s="8">
        <v>52</v>
      </c>
      <c r="AG31" s="8">
        <v>1</v>
      </c>
      <c r="AH31" s="8">
        <v>0.56100000000000005</v>
      </c>
      <c r="AI31" s="8">
        <v>1</v>
      </c>
      <c r="AJ31" s="8">
        <v>5</v>
      </c>
      <c r="AK31" s="8">
        <v>10</v>
      </c>
      <c r="AL31" s="8">
        <v>5</v>
      </c>
    </row>
    <row r="32" spans="1:38" x14ac:dyDescent="0.35">
      <c r="A32" s="8" t="s">
        <v>1563</v>
      </c>
      <c r="B32" s="8">
        <v>308904.9112999998</v>
      </c>
      <c r="C32" s="8">
        <v>6394446.5299000004</v>
      </c>
      <c r="D32" s="8">
        <v>9663749</v>
      </c>
      <c r="E32" s="8" t="s">
        <v>1564</v>
      </c>
      <c r="F32" s="8" t="s">
        <v>1565</v>
      </c>
      <c r="G32" s="8">
        <v>95898</v>
      </c>
      <c r="H32" s="8">
        <v>2</v>
      </c>
      <c r="I32" s="8" t="s">
        <v>1566</v>
      </c>
      <c r="J32" s="8" t="s">
        <v>1567</v>
      </c>
      <c r="K32" s="8">
        <v>105469</v>
      </c>
      <c r="L32" s="8">
        <v>2</v>
      </c>
      <c r="M32" s="8">
        <v>9571</v>
      </c>
      <c r="N32" s="8" t="s">
        <v>1568</v>
      </c>
      <c r="O32" s="8" t="s">
        <v>1569</v>
      </c>
      <c r="P32" s="8">
        <v>125924</v>
      </c>
      <c r="Q32" s="8">
        <v>2</v>
      </c>
      <c r="R32" s="8">
        <v>30026</v>
      </c>
      <c r="S32" s="8">
        <v>0.31900000000000001</v>
      </c>
      <c r="T32" s="8">
        <v>0.28299999999999997</v>
      </c>
      <c r="U32" s="8">
        <v>17</v>
      </c>
      <c r="V32" s="8">
        <v>1</v>
      </c>
      <c r="W32" s="8">
        <v>60</v>
      </c>
      <c r="X32" s="8">
        <v>43</v>
      </c>
      <c r="Y32" s="8">
        <v>288.84500000000003</v>
      </c>
      <c r="Z32" s="8">
        <v>26.638333333333328</v>
      </c>
      <c r="AA32" s="8">
        <v>29.296944444444449</v>
      </c>
      <c r="AB32" s="8" t="s">
        <v>90</v>
      </c>
      <c r="AC32" s="8">
        <v>26</v>
      </c>
      <c r="AD32" s="8">
        <v>9498</v>
      </c>
      <c r="AE32" s="8">
        <v>19069</v>
      </c>
      <c r="AF32" s="8">
        <v>60</v>
      </c>
      <c r="AG32" s="8">
        <v>1</v>
      </c>
      <c r="AH32" s="8">
        <v>0.28299999999999997</v>
      </c>
      <c r="AI32" s="8">
        <v>1</v>
      </c>
      <c r="AJ32" s="8">
        <v>3</v>
      </c>
      <c r="AK32" s="8">
        <v>7</v>
      </c>
      <c r="AL32" s="8">
        <v>4</v>
      </c>
    </row>
    <row r="33" spans="1:38" x14ac:dyDescent="0.35">
      <c r="A33" s="8" t="s">
        <v>925</v>
      </c>
      <c r="B33" s="8">
        <v>314870.73089999979</v>
      </c>
      <c r="C33" s="8">
        <v>6395398.4046999998</v>
      </c>
      <c r="D33" s="8">
        <v>9489532</v>
      </c>
      <c r="E33" s="8" t="s">
        <v>926</v>
      </c>
      <c r="F33" s="8" t="s">
        <v>927</v>
      </c>
      <c r="G33" s="8">
        <v>116198</v>
      </c>
      <c r="H33" s="8">
        <v>2</v>
      </c>
      <c r="I33" s="8" t="s">
        <v>928</v>
      </c>
      <c r="J33" s="8" t="s">
        <v>929</v>
      </c>
      <c r="K33" s="8">
        <v>125834</v>
      </c>
      <c r="L33" s="8">
        <v>2</v>
      </c>
      <c r="M33" s="8">
        <v>9636</v>
      </c>
      <c r="N33" s="8" t="s">
        <v>930</v>
      </c>
      <c r="O33" s="8" t="s">
        <v>931</v>
      </c>
      <c r="P33" s="8">
        <v>144783</v>
      </c>
      <c r="Q33" s="8">
        <v>2</v>
      </c>
      <c r="R33" s="8">
        <v>28585</v>
      </c>
      <c r="S33" s="8">
        <v>0.33700000000000002</v>
      </c>
      <c r="T33" s="8">
        <v>0.29599999999999999</v>
      </c>
      <c r="U33" s="8">
        <v>10</v>
      </c>
      <c r="V33" s="8">
        <v>1</v>
      </c>
      <c r="W33" s="8">
        <v>34</v>
      </c>
      <c r="X33" s="8">
        <v>24</v>
      </c>
      <c r="Y33" s="8">
        <v>0</v>
      </c>
      <c r="Z33" s="8">
        <v>32.277222222222221</v>
      </c>
      <c r="AA33" s="8">
        <v>34.953888888888891</v>
      </c>
      <c r="AB33" s="8" t="s">
        <v>47</v>
      </c>
      <c r="AC33" s="8">
        <v>32</v>
      </c>
      <c r="AD33" s="8">
        <v>29798</v>
      </c>
      <c r="AE33" s="8">
        <v>39434</v>
      </c>
      <c r="AF33" s="8">
        <v>34</v>
      </c>
      <c r="AG33" s="8">
        <v>1</v>
      </c>
      <c r="AH33" s="8">
        <v>0.29599999999999999</v>
      </c>
      <c r="AI33" s="8">
        <v>1</v>
      </c>
      <c r="AJ33" s="8">
        <v>8</v>
      </c>
      <c r="AK33" s="8">
        <v>13</v>
      </c>
      <c r="AL33" s="8">
        <v>5</v>
      </c>
    </row>
    <row r="34" spans="1:38" x14ac:dyDescent="0.35">
      <c r="A34" s="8" t="s">
        <v>974</v>
      </c>
      <c r="B34" s="8">
        <v>318072.1688000001</v>
      </c>
      <c r="C34" s="8">
        <v>6398328.3005999997</v>
      </c>
      <c r="D34" s="8">
        <v>7298531</v>
      </c>
      <c r="E34" s="8" t="s">
        <v>975</v>
      </c>
      <c r="F34" s="8" t="s">
        <v>976</v>
      </c>
      <c r="G34" s="8">
        <v>94521</v>
      </c>
      <c r="H34" s="8">
        <v>2</v>
      </c>
      <c r="I34" s="8" t="s">
        <v>977</v>
      </c>
      <c r="J34" s="8" t="s">
        <v>978</v>
      </c>
      <c r="K34" s="8">
        <v>104209</v>
      </c>
      <c r="L34" s="8">
        <v>2</v>
      </c>
      <c r="M34" s="8">
        <v>9688</v>
      </c>
      <c r="N34" s="8" t="s">
        <v>979</v>
      </c>
      <c r="O34" s="8" t="s">
        <v>980</v>
      </c>
      <c r="P34" s="8">
        <v>124281</v>
      </c>
      <c r="Q34" s="8">
        <v>2</v>
      </c>
      <c r="R34" s="8">
        <v>29760</v>
      </c>
      <c r="S34" s="8">
        <v>0.32600000000000001</v>
      </c>
      <c r="T34" s="8">
        <v>0.27100000000000002</v>
      </c>
      <c r="U34" s="8">
        <v>16</v>
      </c>
      <c r="V34" s="8">
        <v>1</v>
      </c>
      <c r="W34" s="8">
        <v>60</v>
      </c>
      <c r="X34" s="8">
        <v>44</v>
      </c>
      <c r="Y34" s="8">
        <v>168.22399999999999</v>
      </c>
      <c r="Z34" s="8">
        <v>26.255833333333332</v>
      </c>
      <c r="AA34" s="8">
        <v>28.946944444444441</v>
      </c>
      <c r="AB34" s="8" t="s">
        <v>90</v>
      </c>
      <c r="AC34" s="8">
        <v>26</v>
      </c>
      <c r="AD34" s="8">
        <v>8121</v>
      </c>
      <c r="AE34" s="8">
        <v>17809</v>
      </c>
      <c r="AF34" s="8">
        <v>60</v>
      </c>
      <c r="AG34" s="8">
        <v>1</v>
      </c>
      <c r="AH34" s="8">
        <v>0.27100000000000002</v>
      </c>
      <c r="AI34" s="8">
        <v>1</v>
      </c>
      <c r="AJ34" s="8">
        <v>2</v>
      </c>
      <c r="AK34" s="8">
        <v>7</v>
      </c>
      <c r="AL34" s="8">
        <v>5</v>
      </c>
    </row>
    <row r="35" spans="1:38" x14ac:dyDescent="0.35">
      <c r="A35" s="8" t="s">
        <v>981</v>
      </c>
      <c r="B35" s="8">
        <v>314951.25040000031</v>
      </c>
      <c r="C35" s="8">
        <v>6402263.318</v>
      </c>
      <c r="D35" s="8">
        <v>2318552</v>
      </c>
      <c r="E35" s="8" t="s">
        <v>982</v>
      </c>
      <c r="F35" s="8" t="s">
        <v>983</v>
      </c>
      <c r="G35" s="8">
        <v>117446</v>
      </c>
      <c r="H35" s="8">
        <v>2</v>
      </c>
      <c r="I35" s="8" t="s">
        <v>984</v>
      </c>
      <c r="J35" s="8" t="s">
        <v>985</v>
      </c>
      <c r="K35" s="8">
        <v>127134</v>
      </c>
      <c r="L35" s="8">
        <v>2</v>
      </c>
      <c r="M35" s="8">
        <v>9688</v>
      </c>
      <c r="N35" s="8" t="s">
        <v>986</v>
      </c>
      <c r="O35" s="8" t="s">
        <v>987</v>
      </c>
      <c r="P35" s="8">
        <v>144953</v>
      </c>
      <c r="Q35" s="8">
        <v>2</v>
      </c>
      <c r="R35" s="8">
        <v>27507</v>
      </c>
      <c r="S35" s="8">
        <v>0.35199999999999998</v>
      </c>
      <c r="T35" s="8">
        <v>0.54900000000000004</v>
      </c>
      <c r="U35" s="8">
        <v>29</v>
      </c>
      <c r="V35" s="8">
        <v>1</v>
      </c>
      <c r="W35" s="8">
        <v>52</v>
      </c>
      <c r="X35" s="8">
        <v>23</v>
      </c>
      <c r="Y35" s="8">
        <v>0</v>
      </c>
      <c r="Z35" s="8">
        <v>32.623888888888892</v>
      </c>
      <c r="AA35" s="8">
        <v>35.314999999999998</v>
      </c>
      <c r="AB35" s="8" t="s">
        <v>47</v>
      </c>
      <c r="AC35" s="8">
        <v>32</v>
      </c>
      <c r="AD35" s="8">
        <v>31046</v>
      </c>
      <c r="AE35" s="8">
        <v>40734</v>
      </c>
      <c r="AF35" s="8">
        <v>52</v>
      </c>
      <c r="AG35" s="8">
        <v>1</v>
      </c>
      <c r="AH35" s="8">
        <v>0.54900000000000004</v>
      </c>
      <c r="AI35" s="8">
        <v>1</v>
      </c>
      <c r="AJ35" s="8">
        <v>9</v>
      </c>
      <c r="AK35" s="8">
        <v>13</v>
      </c>
      <c r="AL35" s="8">
        <v>4</v>
      </c>
    </row>
    <row r="36" spans="1:38" x14ac:dyDescent="0.35">
      <c r="A36" s="8" t="s">
        <v>993</v>
      </c>
      <c r="B36" s="8">
        <v>316520.84350000042</v>
      </c>
      <c r="C36" s="8">
        <v>6393373.2782000015</v>
      </c>
      <c r="D36" s="8">
        <v>4607358</v>
      </c>
      <c r="E36" s="8" t="s">
        <v>994</v>
      </c>
      <c r="F36" s="8" t="s">
        <v>995</v>
      </c>
      <c r="G36" s="8">
        <v>127743</v>
      </c>
      <c r="H36" s="8">
        <v>2</v>
      </c>
      <c r="I36" s="8" t="s">
        <v>996</v>
      </c>
      <c r="J36" s="8" t="s">
        <v>997</v>
      </c>
      <c r="K36" s="8">
        <v>137484</v>
      </c>
      <c r="L36" s="8">
        <v>2</v>
      </c>
      <c r="M36" s="8">
        <v>9741</v>
      </c>
      <c r="N36" s="8" t="s">
        <v>998</v>
      </c>
      <c r="O36" s="8" t="s">
        <v>999</v>
      </c>
      <c r="P36" s="8">
        <v>145058</v>
      </c>
      <c r="Q36" s="8">
        <v>2</v>
      </c>
      <c r="R36" s="8">
        <v>17315</v>
      </c>
      <c r="S36" s="8">
        <v>0.56299999999999994</v>
      </c>
      <c r="T36" s="8">
        <v>0.54600000000000004</v>
      </c>
      <c r="U36" s="8">
        <v>28</v>
      </c>
      <c r="V36" s="8">
        <v>1</v>
      </c>
      <c r="W36" s="8">
        <v>52</v>
      </c>
      <c r="X36" s="8">
        <v>24</v>
      </c>
      <c r="Y36" s="8">
        <v>0</v>
      </c>
      <c r="Z36" s="8">
        <v>35.484166666666667</v>
      </c>
      <c r="AA36" s="8">
        <v>38.19</v>
      </c>
      <c r="AB36" s="8" t="s">
        <v>47</v>
      </c>
      <c r="AC36" s="8">
        <v>35</v>
      </c>
      <c r="AD36" s="8">
        <v>41343</v>
      </c>
      <c r="AE36" s="8">
        <v>51084</v>
      </c>
      <c r="AF36" s="8">
        <v>52</v>
      </c>
      <c r="AG36" s="8">
        <v>1</v>
      </c>
      <c r="AH36" s="8">
        <v>0.54600000000000004</v>
      </c>
      <c r="AI36" s="8">
        <v>1</v>
      </c>
      <c r="AJ36" s="8">
        <v>11</v>
      </c>
      <c r="AK36" s="8">
        <v>16</v>
      </c>
      <c r="AL36" s="8">
        <v>5</v>
      </c>
    </row>
    <row r="37" spans="1:38" x14ac:dyDescent="0.35">
      <c r="A37" s="8" t="s">
        <v>1000</v>
      </c>
      <c r="B37" s="8">
        <v>317219.12040000042</v>
      </c>
      <c r="C37" s="8">
        <v>6394800.8210000005</v>
      </c>
      <c r="D37" s="8">
        <v>2071560</v>
      </c>
      <c r="E37" s="8" t="s">
        <v>1001</v>
      </c>
      <c r="F37" s="8" t="s">
        <v>1002</v>
      </c>
      <c r="G37" s="8">
        <v>134912</v>
      </c>
      <c r="H37" s="8">
        <v>2</v>
      </c>
      <c r="I37" s="8" t="s">
        <v>1003</v>
      </c>
      <c r="J37" s="8" t="s">
        <v>1004</v>
      </c>
      <c r="K37" s="8">
        <v>144663</v>
      </c>
      <c r="L37" s="8">
        <v>2</v>
      </c>
      <c r="M37" s="8">
        <v>9751</v>
      </c>
      <c r="N37" s="8" t="s">
        <v>1003</v>
      </c>
      <c r="O37" s="8" t="s">
        <v>1004</v>
      </c>
      <c r="P37" s="8">
        <v>144663</v>
      </c>
      <c r="Q37" s="8">
        <v>2</v>
      </c>
      <c r="R37" s="8">
        <v>9751</v>
      </c>
      <c r="S37" s="8">
        <v>1</v>
      </c>
      <c r="T37" s="8">
        <v>0.33</v>
      </c>
      <c r="U37" s="8">
        <v>25</v>
      </c>
      <c r="V37" s="8">
        <v>0.72699999999999998</v>
      </c>
      <c r="W37" s="8">
        <v>55</v>
      </c>
      <c r="X37" s="8">
        <v>30</v>
      </c>
      <c r="Y37" s="8">
        <v>0</v>
      </c>
      <c r="Z37" s="8">
        <v>37.475555555555559</v>
      </c>
      <c r="AA37" s="8">
        <v>40.184166666666663</v>
      </c>
      <c r="AB37" s="8" t="s">
        <v>47</v>
      </c>
      <c r="AC37" s="8">
        <v>37</v>
      </c>
      <c r="AD37" s="8">
        <v>48512</v>
      </c>
      <c r="AE37" s="8">
        <v>58263</v>
      </c>
      <c r="AF37" s="8">
        <v>75.653370013755165</v>
      </c>
      <c r="AG37" s="8">
        <v>0.72699999999999998</v>
      </c>
      <c r="AH37" s="8">
        <v>0.33</v>
      </c>
      <c r="AI37" s="8">
        <v>1</v>
      </c>
      <c r="AJ37" s="8">
        <v>13</v>
      </c>
      <c r="AK37" s="8">
        <v>18</v>
      </c>
      <c r="AL37" s="8">
        <v>5</v>
      </c>
    </row>
    <row r="38" spans="1:38" x14ac:dyDescent="0.35">
      <c r="A38" s="8" t="s">
        <v>1005</v>
      </c>
      <c r="B38" s="8">
        <v>315041.73450000031</v>
      </c>
      <c r="C38" s="8">
        <v>6394738.3139999993</v>
      </c>
      <c r="D38" s="8">
        <v>4784659</v>
      </c>
      <c r="E38" s="8" t="s">
        <v>1006</v>
      </c>
      <c r="F38" s="8" t="s">
        <v>1007</v>
      </c>
      <c r="G38" s="8">
        <v>125517</v>
      </c>
      <c r="H38" s="8">
        <v>2</v>
      </c>
      <c r="I38" s="8" t="s">
        <v>1008</v>
      </c>
      <c r="J38" s="8" t="s">
        <v>1009</v>
      </c>
      <c r="K38" s="8">
        <v>135283</v>
      </c>
      <c r="L38" s="8">
        <v>2</v>
      </c>
      <c r="M38" s="8">
        <v>9766</v>
      </c>
      <c r="N38" s="8" t="s">
        <v>1008</v>
      </c>
      <c r="O38" s="8" t="s">
        <v>1009</v>
      </c>
      <c r="P38" s="8">
        <v>135283</v>
      </c>
      <c r="Q38" s="8">
        <v>2</v>
      </c>
      <c r="R38" s="8">
        <v>9766</v>
      </c>
      <c r="S38" s="8">
        <v>1</v>
      </c>
      <c r="T38" s="8">
        <v>0.371</v>
      </c>
      <c r="U38" s="8">
        <v>22</v>
      </c>
      <c r="V38" s="8">
        <v>0.86799999999999999</v>
      </c>
      <c r="W38" s="8">
        <v>52</v>
      </c>
      <c r="X38" s="8">
        <v>30</v>
      </c>
      <c r="Y38" s="8">
        <v>0</v>
      </c>
      <c r="Z38" s="8">
        <v>34.865833333333327</v>
      </c>
      <c r="AA38" s="8">
        <v>37.578611111111123</v>
      </c>
      <c r="AB38" s="8" t="s">
        <v>47</v>
      </c>
      <c r="AC38" s="8">
        <v>34</v>
      </c>
      <c r="AD38" s="8">
        <v>39117</v>
      </c>
      <c r="AE38" s="8">
        <v>48883</v>
      </c>
      <c r="AF38" s="8">
        <v>59.907834101382491</v>
      </c>
      <c r="AG38" s="8">
        <v>0.86799999999999999</v>
      </c>
      <c r="AH38" s="8">
        <v>0.371</v>
      </c>
      <c r="AI38" s="8">
        <v>1</v>
      </c>
      <c r="AJ38" s="8">
        <v>11</v>
      </c>
      <c r="AK38" s="8">
        <v>16</v>
      </c>
      <c r="AL38" s="8">
        <v>5</v>
      </c>
    </row>
    <row r="39" spans="1:38" x14ac:dyDescent="0.35">
      <c r="A39" s="8" t="s">
        <v>1017</v>
      </c>
      <c r="B39" s="8">
        <v>312745.80260000011</v>
      </c>
      <c r="C39" s="8">
        <v>6402821.4054000014</v>
      </c>
      <c r="D39" s="8">
        <v>4611356</v>
      </c>
      <c r="E39" s="8" t="s">
        <v>1018</v>
      </c>
      <c r="F39" s="8" t="s">
        <v>1019</v>
      </c>
      <c r="G39" s="8">
        <v>114084</v>
      </c>
      <c r="H39" s="8">
        <v>2</v>
      </c>
      <c r="I39" s="8" t="s">
        <v>1020</v>
      </c>
      <c r="J39" s="8" t="s">
        <v>1021</v>
      </c>
      <c r="K39" s="8">
        <v>123854</v>
      </c>
      <c r="L39" s="8">
        <v>2</v>
      </c>
      <c r="M39" s="8">
        <v>9770</v>
      </c>
      <c r="N39" s="8" t="s">
        <v>1022</v>
      </c>
      <c r="O39" s="8" t="s">
        <v>1023</v>
      </c>
      <c r="P39" s="8">
        <v>128893</v>
      </c>
      <c r="Q39" s="8">
        <v>2</v>
      </c>
      <c r="R39" s="8">
        <v>14809</v>
      </c>
      <c r="S39" s="8">
        <v>0.66</v>
      </c>
      <c r="T39" s="8">
        <v>0.54500000000000004</v>
      </c>
      <c r="U39" s="8">
        <v>28</v>
      </c>
      <c r="V39" s="8">
        <v>1</v>
      </c>
      <c r="W39" s="8">
        <v>52</v>
      </c>
      <c r="X39" s="8">
        <v>24</v>
      </c>
      <c r="Y39" s="8">
        <v>0</v>
      </c>
      <c r="Z39" s="8">
        <v>31.69</v>
      </c>
      <c r="AA39" s="8">
        <v>34.403888888888893</v>
      </c>
      <c r="AB39" s="8" t="s">
        <v>47</v>
      </c>
      <c r="AC39" s="8">
        <v>31</v>
      </c>
      <c r="AD39" s="8">
        <v>27684</v>
      </c>
      <c r="AE39" s="8">
        <v>37454</v>
      </c>
      <c r="AF39" s="8">
        <v>52</v>
      </c>
      <c r="AG39" s="8">
        <v>1</v>
      </c>
      <c r="AH39" s="8">
        <v>0.54500000000000004</v>
      </c>
      <c r="AI39" s="8">
        <v>1</v>
      </c>
      <c r="AJ39" s="8">
        <v>8</v>
      </c>
      <c r="AK39" s="8">
        <v>12</v>
      </c>
      <c r="AL39" s="8">
        <v>4</v>
      </c>
    </row>
    <row r="40" spans="1:38" x14ac:dyDescent="0.35">
      <c r="A40" s="8" t="s">
        <v>1059</v>
      </c>
      <c r="B40" s="8">
        <v>316396.46349999961</v>
      </c>
      <c r="C40" s="8">
        <v>6398922.5167999994</v>
      </c>
      <c r="D40" s="8">
        <v>9412791</v>
      </c>
      <c r="E40" s="8" t="s">
        <v>1060</v>
      </c>
      <c r="F40" s="8" t="s">
        <v>1061</v>
      </c>
      <c r="G40" s="8">
        <v>121317</v>
      </c>
      <c r="H40" s="8">
        <v>2</v>
      </c>
      <c r="I40" s="8" t="s">
        <v>1062</v>
      </c>
      <c r="J40" s="8" t="s">
        <v>1063</v>
      </c>
      <c r="K40" s="8">
        <v>131139</v>
      </c>
      <c r="L40" s="8">
        <v>2</v>
      </c>
      <c r="M40" s="8">
        <v>9822</v>
      </c>
      <c r="N40" s="8" t="s">
        <v>1064</v>
      </c>
      <c r="O40" s="8" t="s">
        <v>1065</v>
      </c>
      <c r="P40" s="8">
        <v>150420</v>
      </c>
      <c r="Q40" s="8">
        <v>2</v>
      </c>
      <c r="R40" s="8">
        <v>29103</v>
      </c>
      <c r="S40" s="8">
        <v>0.33700000000000002</v>
      </c>
      <c r="T40" s="8">
        <v>0.54200000000000004</v>
      </c>
      <c r="U40" s="8">
        <v>28</v>
      </c>
      <c r="V40" s="8">
        <v>1</v>
      </c>
      <c r="W40" s="8">
        <v>52</v>
      </c>
      <c r="X40" s="8">
        <v>24</v>
      </c>
      <c r="Y40" s="8">
        <v>0</v>
      </c>
      <c r="Z40" s="8">
        <v>33.699166666666663</v>
      </c>
      <c r="AA40" s="8">
        <v>36.427500000000002</v>
      </c>
      <c r="AB40" s="8" t="s">
        <v>47</v>
      </c>
      <c r="AC40" s="8">
        <v>33</v>
      </c>
      <c r="AD40" s="8">
        <v>34917</v>
      </c>
      <c r="AE40" s="8">
        <v>44739</v>
      </c>
      <c r="AF40" s="8">
        <v>52</v>
      </c>
      <c r="AG40" s="8">
        <v>1</v>
      </c>
      <c r="AH40" s="8">
        <v>0.54200000000000004</v>
      </c>
      <c r="AI40" s="8">
        <v>1</v>
      </c>
      <c r="AJ40" s="8">
        <v>10</v>
      </c>
      <c r="AK40" s="8">
        <v>14</v>
      </c>
      <c r="AL40" s="8">
        <v>4</v>
      </c>
    </row>
    <row r="41" spans="1:38" x14ac:dyDescent="0.35">
      <c r="A41" s="8" t="s">
        <v>1066</v>
      </c>
      <c r="B41" s="8">
        <v>315943.41789999983</v>
      </c>
      <c r="C41" s="8">
        <v>6398025.8147999998</v>
      </c>
      <c r="D41" s="8">
        <v>7324178</v>
      </c>
      <c r="E41" s="8" t="s">
        <v>1067</v>
      </c>
      <c r="F41" s="8" t="s">
        <v>1068</v>
      </c>
      <c r="G41" s="8">
        <v>115496</v>
      </c>
      <c r="H41" s="8">
        <v>2</v>
      </c>
      <c r="I41" s="8" t="s">
        <v>1069</v>
      </c>
      <c r="J41" s="8" t="s">
        <v>1070</v>
      </c>
      <c r="K41" s="8">
        <v>125319</v>
      </c>
      <c r="L41" s="8">
        <v>2</v>
      </c>
      <c r="M41" s="8">
        <v>9823</v>
      </c>
      <c r="N41" s="8" t="s">
        <v>1071</v>
      </c>
      <c r="O41" s="8" t="s">
        <v>1072</v>
      </c>
      <c r="P41" s="8">
        <v>148552</v>
      </c>
      <c r="Q41" s="8">
        <v>2</v>
      </c>
      <c r="R41" s="8">
        <v>33056</v>
      </c>
      <c r="S41" s="8">
        <v>0.29699999999999999</v>
      </c>
      <c r="T41" s="8">
        <v>0.54200000000000004</v>
      </c>
      <c r="U41" s="8">
        <v>28</v>
      </c>
      <c r="V41" s="8">
        <v>1</v>
      </c>
      <c r="W41" s="8">
        <v>52</v>
      </c>
      <c r="X41" s="8">
        <v>24</v>
      </c>
      <c r="Y41" s="8">
        <v>0</v>
      </c>
      <c r="Z41" s="8">
        <v>32.082222222222228</v>
      </c>
      <c r="AA41" s="8">
        <v>34.810833333333328</v>
      </c>
      <c r="AB41" s="8" t="s">
        <v>47</v>
      </c>
      <c r="AC41" s="8">
        <v>32</v>
      </c>
      <c r="AD41" s="8">
        <v>29096</v>
      </c>
      <c r="AE41" s="8">
        <v>38919</v>
      </c>
      <c r="AF41" s="8">
        <v>52</v>
      </c>
      <c r="AG41" s="8">
        <v>1</v>
      </c>
      <c r="AH41" s="8">
        <v>0.54200000000000004</v>
      </c>
      <c r="AI41" s="8">
        <v>1</v>
      </c>
      <c r="AJ41" s="8">
        <v>8</v>
      </c>
      <c r="AK41" s="8">
        <v>13</v>
      </c>
      <c r="AL41" s="8">
        <v>5</v>
      </c>
    </row>
    <row r="42" spans="1:38" x14ac:dyDescent="0.35">
      <c r="A42" s="8" t="s">
        <v>1080</v>
      </c>
      <c r="B42" s="8">
        <v>316231.6445000004</v>
      </c>
      <c r="C42" s="8">
        <v>6400434.1600000001</v>
      </c>
      <c r="D42" s="8">
        <v>4771115</v>
      </c>
      <c r="E42" s="8" t="s">
        <v>1081</v>
      </c>
      <c r="F42" s="8" t="s">
        <v>1082</v>
      </c>
      <c r="G42" s="8">
        <v>120971</v>
      </c>
      <c r="H42" s="8">
        <v>2</v>
      </c>
      <c r="I42" s="8" t="s">
        <v>1083</v>
      </c>
      <c r="J42" s="8" t="s">
        <v>1084</v>
      </c>
      <c r="K42" s="8">
        <v>130854</v>
      </c>
      <c r="L42" s="8">
        <v>2</v>
      </c>
      <c r="M42" s="8">
        <v>9883</v>
      </c>
      <c r="N42" s="8" t="s">
        <v>1085</v>
      </c>
      <c r="O42" s="8" t="s">
        <v>1086</v>
      </c>
      <c r="P42" s="8">
        <v>152010</v>
      </c>
      <c r="Q42" s="8">
        <v>2</v>
      </c>
      <c r="R42" s="8">
        <v>31039</v>
      </c>
      <c r="S42" s="8">
        <v>0.318</v>
      </c>
      <c r="T42" s="8">
        <v>0.27400000000000002</v>
      </c>
      <c r="U42" s="8">
        <v>9</v>
      </c>
      <c r="V42" s="8">
        <v>1</v>
      </c>
      <c r="W42" s="8">
        <v>34</v>
      </c>
      <c r="X42" s="8">
        <v>25</v>
      </c>
      <c r="Y42" s="8">
        <v>0</v>
      </c>
      <c r="Z42" s="8">
        <v>33.603055555555557</v>
      </c>
      <c r="AA42" s="8">
        <v>36.348333333333343</v>
      </c>
      <c r="AB42" s="8" t="s">
        <v>47</v>
      </c>
      <c r="AC42" s="8">
        <v>33</v>
      </c>
      <c r="AD42" s="8">
        <v>34571</v>
      </c>
      <c r="AE42" s="8">
        <v>44454</v>
      </c>
      <c r="AF42" s="8">
        <v>34</v>
      </c>
      <c r="AG42" s="8">
        <v>1</v>
      </c>
      <c r="AH42" s="8">
        <v>0.27400000000000002</v>
      </c>
      <c r="AI42" s="8">
        <v>1</v>
      </c>
      <c r="AJ42" s="8">
        <v>10</v>
      </c>
      <c r="AK42" s="8">
        <v>14</v>
      </c>
      <c r="AL42" s="8">
        <v>4</v>
      </c>
    </row>
    <row r="43" spans="1:38" x14ac:dyDescent="0.35">
      <c r="A43" s="8" t="s">
        <v>1150</v>
      </c>
      <c r="B43" s="8">
        <v>309224.15689999983</v>
      </c>
      <c r="C43" s="8">
        <v>6388496.2022999991</v>
      </c>
      <c r="D43" s="8">
        <v>4659893</v>
      </c>
      <c r="E43" s="8" t="s">
        <v>1151</v>
      </c>
      <c r="F43" s="8" t="s">
        <v>1152</v>
      </c>
      <c r="G43" s="8">
        <v>136646</v>
      </c>
      <c r="H43" s="8">
        <v>2</v>
      </c>
      <c r="I43" s="8" t="s">
        <v>1153</v>
      </c>
      <c r="J43" s="8" t="s">
        <v>1154</v>
      </c>
      <c r="K43" s="8">
        <v>146599</v>
      </c>
      <c r="L43" s="8">
        <v>2</v>
      </c>
      <c r="M43" s="8">
        <v>9953</v>
      </c>
      <c r="N43" s="8" t="s">
        <v>1155</v>
      </c>
      <c r="O43" s="8" t="s">
        <v>1156</v>
      </c>
      <c r="P43" s="8">
        <v>152339</v>
      </c>
      <c r="Q43" s="8">
        <v>2</v>
      </c>
      <c r="R43" s="8">
        <v>15693</v>
      </c>
      <c r="S43" s="8">
        <v>0.63400000000000001</v>
      </c>
      <c r="T43" s="8">
        <v>0.39700000000000002</v>
      </c>
      <c r="U43" s="8">
        <v>17</v>
      </c>
      <c r="V43" s="8">
        <v>1</v>
      </c>
      <c r="W43" s="8">
        <v>42</v>
      </c>
      <c r="X43" s="8">
        <v>25</v>
      </c>
      <c r="Y43" s="8">
        <v>0</v>
      </c>
      <c r="Z43" s="8">
        <v>37.957222222222228</v>
      </c>
      <c r="AA43" s="8">
        <v>40.721944444444453</v>
      </c>
      <c r="AB43" s="8" t="s">
        <v>47</v>
      </c>
      <c r="AC43" s="8">
        <v>37</v>
      </c>
      <c r="AD43" s="8">
        <v>50246</v>
      </c>
      <c r="AE43" s="8">
        <v>60199</v>
      </c>
      <c r="AF43" s="8">
        <v>42</v>
      </c>
      <c r="AG43" s="8">
        <v>1</v>
      </c>
      <c r="AH43" s="8">
        <v>0.39700000000000002</v>
      </c>
      <c r="AI43" s="8">
        <v>1</v>
      </c>
      <c r="AJ43" s="8">
        <v>14</v>
      </c>
      <c r="AK43" s="8">
        <v>19</v>
      </c>
      <c r="AL43" s="8">
        <v>5</v>
      </c>
    </row>
    <row r="44" spans="1:38" x14ac:dyDescent="0.35">
      <c r="A44" s="8" t="s">
        <v>1192</v>
      </c>
      <c r="B44" s="8">
        <v>312935.81269999972</v>
      </c>
      <c r="C44" s="8">
        <v>6403477.9522999991</v>
      </c>
      <c r="D44" s="8">
        <v>4605049</v>
      </c>
      <c r="E44" s="8" t="s">
        <v>1193</v>
      </c>
      <c r="F44" s="8" t="s">
        <v>1194</v>
      </c>
      <c r="G44" s="8">
        <v>111096</v>
      </c>
      <c r="H44" s="8">
        <v>2</v>
      </c>
      <c r="I44" s="8" t="s">
        <v>1195</v>
      </c>
      <c r="J44" s="8" t="s">
        <v>1196</v>
      </c>
      <c r="K44" s="8">
        <v>121104</v>
      </c>
      <c r="L44" s="8">
        <v>2</v>
      </c>
      <c r="M44" s="8">
        <v>10008</v>
      </c>
      <c r="N44" s="8" t="s">
        <v>1197</v>
      </c>
      <c r="O44" s="8" t="s">
        <v>1198</v>
      </c>
      <c r="P44" s="8">
        <v>128975</v>
      </c>
      <c r="Q44" s="8">
        <v>2</v>
      </c>
      <c r="R44" s="8">
        <v>17879</v>
      </c>
      <c r="S44" s="8">
        <v>0.56000000000000005</v>
      </c>
      <c r="T44" s="8">
        <v>0.26300000000000001</v>
      </c>
      <c r="U44" s="8">
        <v>9</v>
      </c>
      <c r="V44" s="8">
        <v>1</v>
      </c>
      <c r="W44" s="8">
        <v>34</v>
      </c>
      <c r="X44" s="8">
        <v>25</v>
      </c>
      <c r="Y44" s="8">
        <v>0</v>
      </c>
      <c r="Z44" s="8">
        <v>30.86</v>
      </c>
      <c r="AA44" s="8">
        <v>33.64</v>
      </c>
      <c r="AB44" s="8" t="s">
        <v>47</v>
      </c>
      <c r="AC44" s="8">
        <v>30</v>
      </c>
      <c r="AD44" s="8">
        <v>24696</v>
      </c>
      <c r="AE44" s="8">
        <v>34704</v>
      </c>
      <c r="AF44" s="8">
        <v>34</v>
      </c>
      <c r="AG44" s="8">
        <v>1</v>
      </c>
      <c r="AH44" s="8">
        <v>0.26300000000000001</v>
      </c>
      <c r="AI44" s="8">
        <v>1</v>
      </c>
      <c r="AJ44" s="8">
        <v>7</v>
      </c>
      <c r="AK44" s="8">
        <v>12</v>
      </c>
      <c r="AL44" s="8">
        <v>5</v>
      </c>
    </row>
    <row r="45" spans="1:38" x14ac:dyDescent="0.35">
      <c r="A45" s="8" t="s">
        <v>1213</v>
      </c>
      <c r="B45" s="8">
        <v>314159.93950000033</v>
      </c>
      <c r="C45" s="8">
        <v>6397921.1823000005</v>
      </c>
      <c r="D45" s="8">
        <v>1951459</v>
      </c>
      <c r="E45" s="8" t="s">
        <v>1214</v>
      </c>
      <c r="F45" s="8" t="s">
        <v>1215</v>
      </c>
      <c r="G45" s="8">
        <v>119162</v>
      </c>
      <c r="H45" s="8">
        <v>2</v>
      </c>
      <c r="I45" s="8" t="s">
        <v>1216</v>
      </c>
      <c r="J45" s="8" t="s">
        <v>1217</v>
      </c>
      <c r="K45" s="8">
        <v>129189</v>
      </c>
      <c r="L45" s="8">
        <v>2</v>
      </c>
      <c r="M45" s="8">
        <v>10027</v>
      </c>
      <c r="N45" s="8" t="s">
        <v>1218</v>
      </c>
      <c r="O45" s="8" t="s">
        <v>1219</v>
      </c>
      <c r="P45" s="8">
        <v>148318</v>
      </c>
      <c r="Q45" s="8">
        <v>2</v>
      </c>
      <c r="R45" s="8">
        <v>29156</v>
      </c>
      <c r="S45" s="8">
        <v>0.34399999999999997</v>
      </c>
      <c r="T45" s="8">
        <v>0.26100000000000001</v>
      </c>
      <c r="U45" s="8">
        <v>9</v>
      </c>
      <c r="V45" s="8">
        <v>1</v>
      </c>
      <c r="W45" s="8">
        <v>34</v>
      </c>
      <c r="X45" s="8">
        <v>25</v>
      </c>
      <c r="Y45" s="8">
        <v>0</v>
      </c>
      <c r="Z45" s="8">
        <v>33.100555555555559</v>
      </c>
      <c r="AA45" s="8">
        <v>35.885833333333331</v>
      </c>
      <c r="AB45" s="8" t="s">
        <v>47</v>
      </c>
      <c r="AC45" s="8">
        <v>33</v>
      </c>
      <c r="AD45" s="8">
        <v>32762</v>
      </c>
      <c r="AE45" s="8">
        <v>42789</v>
      </c>
      <c r="AF45" s="8">
        <v>34</v>
      </c>
      <c r="AG45" s="8">
        <v>1</v>
      </c>
      <c r="AH45" s="8">
        <v>0.26100000000000001</v>
      </c>
      <c r="AI45" s="8">
        <v>1</v>
      </c>
      <c r="AJ45" s="8">
        <v>9</v>
      </c>
      <c r="AK45" s="8">
        <v>14</v>
      </c>
      <c r="AL45" s="8">
        <v>5</v>
      </c>
    </row>
    <row r="46" spans="1:38" x14ac:dyDescent="0.35">
      <c r="A46" s="8" t="s">
        <v>1255</v>
      </c>
      <c r="B46" s="8">
        <v>312000.83249999961</v>
      </c>
      <c r="C46" s="8">
        <v>6403569.1883000014</v>
      </c>
      <c r="D46" s="8">
        <v>4925338</v>
      </c>
      <c r="E46" s="8" t="s">
        <v>1256</v>
      </c>
      <c r="F46" s="8" t="s">
        <v>1257</v>
      </c>
      <c r="G46" s="8">
        <v>115551</v>
      </c>
      <c r="H46" s="8">
        <v>2</v>
      </c>
      <c r="I46" s="8" t="s">
        <v>1258</v>
      </c>
      <c r="J46" s="8" t="s">
        <v>1259</v>
      </c>
      <c r="K46" s="8">
        <v>125649</v>
      </c>
      <c r="L46" s="8">
        <v>2</v>
      </c>
      <c r="M46" s="8">
        <v>10098</v>
      </c>
      <c r="N46" s="8" t="s">
        <v>1260</v>
      </c>
      <c r="O46" s="8" t="s">
        <v>1261</v>
      </c>
      <c r="P46" s="8">
        <v>145825</v>
      </c>
      <c r="Q46" s="8">
        <v>2</v>
      </c>
      <c r="R46" s="8">
        <v>30274</v>
      </c>
      <c r="S46" s="8">
        <v>0.33400000000000002</v>
      </c>
      <c r="T46" s="8">
        <v>0.255</v>
      </c>
      <c r="U46" s="8">
        <v>9</v>
      </c>
      <c r="V46" s="8">
        <v>1</v>
      </c>
      <c r="W46" s="8">
        <v>34</v>
      </c>
      <c r="X46" s="8">
        <v>25</v>
      </c>
      <c r="Y46" s="8">
        <v>0</v>
      </c>
      <c r="Z46" s="8">
        <v>32.097499999999997</v>
      </c>
      <c r="AA46" s="8">
        <v>34.902500000000003</v>
      </c>
      <c r="AB46" s="8" t="s">
        <v>47</v>
      </c>
      <c r="AC46" s="8">
        <v>32</v>
      </c>
      <c r="AD46" s="8">
        <v>29151</v>
      </c>
      <c r="AE46" s="8">
        <v>39249</v>
      </c>
      <c r="AF46" s="8">
        <v>34</v>
      </c>
      <c r="AG46" s="8">
        <v>1</v>
      </c>
      <c r="AH46" s="8">
        <v>0.255</v>
      </c>
      <c r="AI46" s="8">
        <v>1</v>
      </c>
      <c r="AJ46" s="8">
        <v>8</v>
      </c>
      <c r="AK46" s="8">
        <v>13</v>
      </c>
      <c r="AL46" s="8">
        <v>5</v>
      </c>
    </row>
    <row r="47" spans="1:38" x14ac:dyDescent="0.35">
      <c r="A47" s="8" t="s">
        <v>1262</v>
      </c>
      <c r="B47" s="8">
        <v>314696.91959999967</v>
      </c>
      <c r="C47" s="8">
        <v>6402144.4923</v>
      </c>
      <c r="D47" s="8">
        <v>4744327</v>
      </c>
      <c r="E47" s="8" t="s">
        <v>1263</v>
      </c>
      <c r="F47" s="8" t="s">
        <v>1264</v>
      </c>
      <c r="G47" s="8">
        <v>127874</v>
      </c>
      <c r="H47" s="8">
        <v>2</v>
      </c>
      <c r="I47" s="8" t="s">
        <v>1265</v>
      </c>
      <c r="J47" s="8" t="s">
        <v>1266</v>
      </c>
      <c r="K47" s="8">
        <v>137979</v>
      </c>
      <c r="L47" s="8">
        <v>2</v>
      </c>
      <c r="M47" s="8">
        <v>10105</v>
      </c>
      <c r="N47" s="8" t="s">
        <v>1267</v>
      </c>
      <c r="O47" s="8" t="s">
        <v>1268</v>
      </c>
      <c r="P47" s="8">
        <v>160943</v>
      </c>
      <c r="Q47" s="8">
        <v>2</v>
      </c>
      <c r="R47" s="8">
        <v>33069</v>
      </c>
      <c r="S47" s="8">
        <v>0.30599999999999999</v>
      </c>
      <c r="T47" s="8">
        <v>0.58099999999999996</v>
      </c>
      <c r="U47" s="8">
        <v>35</v>
      </c>
      <c r="V47" s="8">
        <v>1</v>
      </c>
      <c r="W47" s="8">
        <v>60</v>
      </c>
      <c r="X47" s="8">
        <v>25</v>
      </c>
      <c r="Y47" s="8">
        <v>0</v>
      </c>
      <c r="Z47" s="8">
        <v>35.520555555555553</v>
      </c>
      <c r="AA47" s="8">
        <v>38.327500000000001</v>
      </c>
      <c r="AB47" s="8" t="s">
        <v>47</v>
      </c>
      <c r="AC47" s="8">
        <v>35</v>
      </c>
      <c r="AD47" s="8">
        <v>41474</v>
      </c>
      <c r="AE47" s="8">
        <v>51579</v>
      </c>
      <c r="AF47" s="8">
        <v>60</v>
      </c>
      <c r="AG47" s="8">
        <v>1</v>
      </c>
      <c r="AH47" s="8">
        <v>0.58099999999999996</v>
      </c>
      <c r="AI47" s="8">
        <v>1</v>
      </c>
      <c r="AJ47" s="8">
        <v>12</v>
      </c>
      <c r="AK47" s="8">
        <v>16</v>
      </c>
      <c r="AL47" s="8">
        <v>4</v>
      </c>
    </row>
    <row r="48" spans="1:38" x14ac:dyDescent="0.35">
      <c r="A48" s="8" t="s">
        <v>1269</v>
      </c>
      <c r="B48" s="8">
        <v>315741.91750000039</v>
      </c>
      <c r="C48" s="8">
        <v>6393993.8114999998</v>
      </c>
      <c r="D48" s="8">
        <v>4763062</v>
      </c>
      <c r="E48" s="8" t="s">
        <v>994</v>
      </c>
      <c r="F48" s="8" t="s">
        <v>995</v>
      </c>
      <c r="G48" s="8">
        <v>127743</v>
      </c>
      <c r="H48" s="8">
        <v>2</v>
      </c>
      <c r="I48" s="8" t="s">
        <v>1270</v>
      </c>
      <c r="J48" s="8" t="s">
        <v>1271</v>
      </c>
      <c r="K48" s="8">
        <v>137859</v>
      </c>
      <c r="L48" s="8">
        <v>2</v>
      </c>
      <c r="M48" s="8">
        <v>10116</v>
      </c>
      <c r="N48" s="8" t="s">
        <v>1272</v>
      </c>
      <c r="O48" s="8" t="s">
        <v>1273</v>
      </c>
      <c r="P48" s="8">
        <v>157616</v>
      </c>
      <c r="Q48" s="8">
        <v>2</v>
      </c>
      <c r="R48" s="8">
        <v>29873</v>
      </c>
      <c r="S48" s="8">
        <v>0.33900000000000002</v>
      </c>
      <c r="T48" s="8">
        <v>0.253</v>
      </c>
      <c r="U48" s="8">
        <v>9</v>
      </c>
      <c r="V48" s="8">
        <v>1</v>
      </c>
      <c r="W48" s="8">
        <v>34</v>
      </c>
      <c r="X48" s="8">
        <v>25</v>
      </c>
      <c r="Y48" s="8">
        <v>0</v>
      </c>
      <c r="Z48" s="8">
        <v>35.484166666666667</v>
      </c>
      <c r="AA48" s="8">
        <v>38.294166666666662</v>
      </c>
      <c r="AB48" s="8" t="s">
        <v>47</v>
      </c>
      <c r="AC48" s="8">
        <v>35</v>
      </c>
      <c r="AD48" s="8">
        <v>41343</v>
      </c>
      <c r="AE48" s="8">
        <v>51459</v>
      </c>
      <c r="AF48" s="8">
        <v>34</v>
      </c>
      <c r="AG48" s="8">
        <v>1</v>
      </c>
      <c r="AH48" s="8">
        <v>0.253</v>
      </c>
      <c r="AI48" s="8">
        <v>1</v>
      </c>
      <c r="AJ48" s="8">
        <v>11</v>
      </c>
      <c r="AK48" s="8">
        <v>16</v>
      </c>
      <c r="AL48" s="8">
        <v>5</v>
      </c>
    </row>
    <row r="49" spans="1:38" x14ac:dyDescent="0.35">
      <c r="A49" s="8" t="s">
        <v>1281</v>
      </c>
      <c r="B49" s="8">
        <v>314689.44269999949</v>
      </c>
      <c r="C49" s="8">
        <v>6402227.7138999999</v>
      </c>
      <c r="D49" s="8">
        <v>1946924</v>
      </c>
      <c r="E49" s="8" t="s">
        <v>1282</v>
      </c>
      <c r="F49" s="8" t="s">
        <v>1283</v>
      </c>
      <c r="G49" s="8">
        <v>112629</v>
      </c>
      <c r="H49" s="8">
        <v>2</v>
      </c>
      <c r="I49" s="8" t="s">
        <v>1284</v>
      </c>
      <c r="J49" s="8" t="s">
        <v>1285</v>
      </c>
      <c r="K49" s="8">
        <v>122759</v>
      </c>
      <c r="L49" s="8">
        <v>2</v>
      </c>
      <c r="M49" s="8">
        <v>10130</v>
      </c>
      <c r="N49" s="8" t="s">
        <v>1286</v>
      </c>
      <c r="O49" s="8" t="s">
        <v>1287</v>
      </c>
      <c r="P49" s="8">
        <v>142183</v>
      </c>
      <c r="Q49" s="8">
        <v>2</v>
      </c>
      <c r="R49" s="8">
        <v>29554</v>
      </c>
      <c r="S49" s="8">
        <v>0.34300000000000003</v>
      </c>
      <c r="T49" s="8">
        <v>0.52300000000000002</v>
      </c>
      <c r="U49" s="8">
        <v>27</v>
      </c>
      <c r="V49" s="8">
        <v>1</v>
      </c>
      <c r="W49" s="8">
        <v>52</v>
      </c>
      <c r="X49" s="8">
        <v>25</v>
      </c>
      <c r="Y49" s="8">
        <v>0</v>
      </c>
      <c r="Z49" s="8">
        <v>31.28583333333334</v>
      </c>
      <c r="AA49" s="8">
        <v>34.099722222222233</v>
      </c>
      <c r="AB49" s="8" t="s">
        <v>47</v>
      </c>
      <c r="AC49" s="8">
        <v>31</v>
      </c>
      <c r="AD49" s="8">
        <v>26229</v>
      </c>
      <c r="AE49" s="8">
        <v>36359</v>
      </c>
      <c r="AF49" s="8">
        <v>52</v>
      </c>
      <c r="AG49" s="8">
        <v>1</v>
      </c>
      <c r="AH49" s="8">
        <v>0.52300000000000002</v>
      </c>
      <c r="AI49" s="8">
        <v>1</v>
      </c>
      <c r="AJ49" s="8">
        <v>7</v>
      </c>
      <c r="AK49" s="8">
        <v>12</v>
      </c>
      <c r="AL49" s="8">
        <v>5</v>
      </c>
    </row>
    <row r="50" spans="1:38" x14ac:dyDescent="0.35">
      <c r="A50" s="8" t="s">
        <v>1288</v>
      </c>
      <c r="B50" s="8">
        <v>317274.50999999978</v>
      </c>
      <c r="C50" s="8">
        <v>6394575.1827000007</v>
      </c>
      <c r="D50" s="8">
        <v>9491928</v>
      </c>
      <c r="E50" s="8" t="s">
        <v>1289</v>
      </c>
      <c r="F50" s="8" t="s">
        <v>1290</v>
      </c>
      <c r="G50" s="8">
        <v>148262</v>
      </c>
      <c r="H50" s="8">
        <v>2</v>
      </c>
      <c r="I50" s="8" t="s">
        <v>1291</v>
      </c>
      <c r="J50" s="8" t="s">
        <v>1292</v>
      </c>
      <c r="K50" s="8">
        <v>158397</v>
      </c>
      <c r="L50" s="8">
        <v>2</v>
      </c>
      <c r="M50" s="8">
        <v>10135</v>
      </c>
      <c r="N50" s="8" t="s">
        <v>1291</v>
      </c>
      <c r="O50" s="8" t="s">
        <v>1292</v>
      </c>
      <c r="P50" s="8">
        <v>158397</v>
      </c>
      <c r="Q50" s="8">
        <v>2</v>
      </c>
      <c r="R50" s="8">
        <v>10135</v>
      </c>
      <c r="S50" s="8">
        <v>1</v>
      </c>
      <c r="T50" s="8">
        <v>0.48399999999999999</v>
      </c>
      <c r="U50" s="8">
        <v>29</v>
      </c>
      <c r="V50" s="8">
        <v>0.98399999999999999</v>
      </c>
      <c r="W50" s="8">
        <v>59</v>
      </c>
      <c r="X50" s="8">
        <v>30</v>
      </c>
      <c r="Y50" s="8">
        <v>0</v>
      </c>
      <c r="Z50" s="8">
        <v>41.183888888888887</v>
      </c>
      <c r="AA50" s="8">
        <v>43.999166666666667</v>
      </c>
      <c r="AB50" s="8" t="s">
        <v>47</v>
      </c>
      <c r="AC50" s="8">
        <v>41</v>
      </c>
      <c r="AD50" s="8">
        <v>61862</v>
      </c>
      <c r="AE50" s="8">
        <v>71997</v>
      </c>
      <c r="AF50" s="8">
        <v>59.959349593495944</v>
      </c>
      <c r="AG50" s="8">
        <v>0.98399999999999999</v>
      </c>
      <c r="AH50" s="8">
        <v>0.48399999999999999</v>
      </c>
      <c r="AI50" s="8">
        <v>1</v>
      </c>
      <c r="AJ50" s="8">
        <v>17</v>
      </c>
      <c r="AK50" s="8">
        <v>22</v>
      </c>
      <c r="AL50" s="8">
        <v>5</v>
      </c>
    </row>
    <row r="51" spans="1:38" x14ac:dyDescent="0.35">
      <c r="A51" s="8" t="s">
        <v>55</v>
      </c>
      <c r="B51" s="8">
        <v>312994.43520000018</v>
      </c>
      <c r="C51" s="8">
        <v>6402813.9954000004</v>
      </c>
      <c r="D51" s="8">
        <v>8121085</v>
      </c>
      <c r="E51" s="8" t="s">
        <v>56</v>
      </c>
      <c r="F51" s="8" t="s">
        <v>57</v>
      </c>
      <c r="G51" s="8">
        <v>110481</v>
      </c>
      <c r="H51" s="8">
        <v>2</v>
      </c>
      <c r="I51" s="8" t="s">
        <v>58</v>
      </c>
      <c r="J51" s="8" t="s">
        <v>59</v>
      </c>
      <c r="K51" s="8">
        <v>120654</v>
      </c>
      <c r="L51" s="8">
        <v>2</v>
      </c>
      <c r="M51" s="8">
        <v>10173</v>
      </c>
      <c r="N51" s="8" t="s">
        <v>60</v>
      </c>
      <c r="O51" s="8" t="s">
        <v>61</v>
      </c>
      <c r="P51" s="8">
        <v>141084</v>
      </c>
      <c r="Q51" s="8">
        <v>2</v>
      </c>
      <c r="R51" s="8">
        <v>30603</v>
      </c>
      <c r="S51" s="8">
        <v>0.33200000000000002</v>
      </c>
      <c r="T51" s="8">
        <v>0.38100000000000001</v>
      </c>
      <c r="U51" s="8">
        <v>16</v>
      </c>
      <c r="V51" s="8">
        <v>1</v>
      </c>
      <c r="W51" s="8">
        <v>42</v>
      </c>
      <c r="X51" s="8">
        <v>26</v>
      </c>
      <c r="Y51" s="8">
        <v>0</v>
      </c>
      <c r="Z51" s="8">
        <v>30.689166666666669</v>
      </c>
      <c r="AA51" s="8">
        <v>33.515000000000001</v>
      </c>
      <c r="AB51" s="8" t="s">
        <v>47</v>
      </c>
      <c r="AC51" s="8">
        <v>30</v>
      </c>
      <c r="AD51" s="8">
        <v>24081</v>
      </c>
      <c r="AE51" s="8">
        <v>34254</v>
      </c>
      <c r="AF51" s="8">
        <v>42</v>
      </c>
      <c r="AG51" s="8">
        <v>1</v>
      </c>
      <c r="AH51" s="8">
        <v>0.38100000000000001</v>
      </c>
      <c r="AI51" s="8">
        <v>1</v>
      </c>
      <c r="AJ51" s="8">
        <v>7</v>
      </c>
      <c r="AK51" s="8">
        <v>12</v>
      </c>
      <c r="AL51" s="8">
        <v>5</v>
      </c>
    </row>
    <row r="52" spans="1:38" x14ac:dyDescent="0.35">
      <c r="A52" s="8" t="s">
        <v>109</v>
      </c>
      <c r="B52" s="8">
        <v>316562.9458999997</v>
      </c>
      <c r="C52" s="8">
        <v>6395176.4386</v>
      </c>
      <c r="D52" s="8">
        <v>4771738</v>
      </c>
      <c r="E52" s="8" t="s">
        <v>110</v>
      </c>
      <c r="F52" s="8" t="s">
        <v>111</v>
      </c>
      <c r="G52" s="8">
        <v>111468</v>
      </c>
      <c r="H52" s="8">
        <v>2</v>
      </c>
      <c r="I52" s="8" t="s">
        <v>112</v>
      </c>
      <c r="J52" s="8" t="s">
        <v>113</v>
      </c>
      <c r="K52" s="8">
        <v>121724</v>
      </c>
      <c r="L52" s="8">
        <v>2</v>
      </c>
      <c r="M52" s="8">
        <v>10256</v>
      </c>
      <c r="N52" s="8" t="s">
        <v>114</v>
      </c>
      <c r="O52" s="8" t="s">
        <v>115</v>
      </c>
      <c r="P52" s="8">
        <v>143819</v>
      </c>
      <c r="Q52" s="8">
        <v>2</v>
      </c>
      <c r="R52" s="8">
        <v>32351</v>
      </c>
      <c r="S52" s="8">
        <v>0.317</v>
      </c>
      <c r="T52" s="8">
        <v>0.374</v>
      </c>
      <c r="U52" s="8">
        <v>16</v>
      </c>
      <c r="V52" s="8">
        <v>1</v>
      </c>
      <c r="W52" s="8">
        <v>42</v>
      </c>
      <c r="X52" s="8">
        <v>26</v>
      </c>
      <c r="Y52" s="8">
        <v>0</v>
      </c>
      <c r="Z52" s="8">
        <v>30.963333333333331</v>
      </c>
      <c r="AA52" s="8">
        <v>33.812222222222218</v>
      </c>
      <c r="AB52" s="8" t="s">
        <v>47</v>
      </c>
      <c r="AC52" s="8">
        <v>30</v>
      </c>
      <c r="AD52" s="8">
        <v>25068</v>
      </c>
      <c r="AE52" s="8">
        <v>35324</v>
      </c>
      <c r="AF52" s="8">
        <v>42</v>
      </c>
      <c r="AG52" s="8">
        <v>1</v>
      </c>
      <c r="AH52" s="8">
        <v>0.374</v>
      </c>
      <c r="AI52" s="8">
        <v>1</v>
      </c>
      <c r="AJ52" s="8">
        <v>7</v>
      </c>
      <c r="AK52" s="8">
        <v>12</v>
      </c>
      <c r="AL52" s="8">
        <v>5</v>
      </c>
    </row>
    <row r="53" spans="1:38" x14ac:dyDescent="0.35">
      <c r="A53" s="8" t="s">
        <v>123</v>
      </c>
      <c r="B53" s="8">
        <v>316124.87569999968</v>
      </c>
      <c r="C53" s="8">
        <v>6395006.2068000007</v>
      </c>
      <c r="D53" s="8">
        <v>2129003</v>
      </c>
      <c r="E53" s="8" t="s">
        <v>124</v>
      </c>
      <c r="F53" s="8" t="s">
        <v>125</v>
      </c>
      <c r="G53" s="8">
        <v>110347</v>
      </c>
      <c r="H53" s="8">
        <v>2</v>
      </c>
      <c r="I53" s="8" t="s">
        <v>126</v>
      </c>
      <c r="J53" s="8" t="s">
        <v>127</v>
      </c>
      <c r="K53" s="8">
        <v>120624</v>
      </c>
      <c r="L53" s="8">
        <v>2</v>
      </c>
      <c r="M53" s="8">
        <v>10277</v>
      </c>
      <c r="N53" s="8" t="s">
        <v>128</v>
      </c>
      <c r="O53" s="8" t="s">
        <v>129</v>
      </c>
      <c r="P53" s="8">
        <v>146660</v>
      </c>
      <c r="Q53" s="8">
        <v>2</v>
      </c>
      <c r="R53" s="8">
        <v>36313</v>
      </c>
      <c r="S53" s="8">
        <v>0.28299999999999997</v>
      </c>
      <c r="T53" s="8">
        <v>0.51500000000000001</v>
      </c>
      <c r="U53" s="8">
        <v>27</v>
      </c>
      <c r="V53" s="8">
        <v>1</v>
      </c>
      <c r="W53" s="8">
        <v>52</v>
      </c>
      <c r="X53" s="8">
        <v>25</v>
      </c>
      <c r="Y53" s="8">
        <v>0</v>
      </c>
      <c r="Z53" s="8">
        <v>30.651944444444439</v>
      </c>
      <c r="AA53" s="8">
        <v>33.506666666666668</v>
      </c>
      <c r="AB53" s="8" t="s">
        <v>47</v>
      </c>
      <c r="AC53" s="8">
        <v>30</v>
      </c>
      <c r="AD53" s="8">
        <v>23947</v>
      </c>
      <c r="AE53" s="8">
        <v>34224</v>
      </c>
      <c r="AF53" s="8">
        <v>52</v>
      </c>
      <c r="AG53" s="8">
        <v>1</v>
      </c>
      <c r="AH53" s="8">
        <v>0.51500000000000001</v>
      </c>
      <c r="AI53" s="8">
        <v>1</v>
      </c>
      <c r="AJ53" s="8">
        <v>7</v>
      </c>
      <c r="AK53" s="8">
        <v>12</v>
      </c>
      <c r="AL53" s="8">
        <v>5</v>
      </c>
    </row>
    <row r="54" spans="1:38" x14ac:dyDescent="0.35">
      <c r="A54" s="8" t="s">
        <v>130</v>
      </c>
      <c r="B54" s="8">
        <v>312896.00650000008</v>
      </c>
      <c r="C54" s="8">
        <v>6402848.2449999992</v>
      </c>
      <c r="D54" s="8">
        <v>9447416</v>
      </c>
      <c r="E54" s="8" t="s">
        <v>131</v>
      </c>
      <c r="F54" s="8" t="s">
        <v>132</v>
      </c>
      <c r="G54" s="8">
        <v>117985</v>
      </c>
      <c r="H54" s="8">
        <v>2</v>
      </c>
      <c r="I54" s="8" t="s">
        <v>133</v>
      </c>
      <c r="J54" s="8" t="s">
        <v>134</v>
      </c>
      <c r="K54" s="8">
        <v>128269</v>
      </c>
      <c r="L54" s="8">
        <v>2</v>
      </c>
      <c r="M54" s="8">
        <v>10284</v>
      </c>
      <c r="N54" s="8" t="s">
        <v>135</v>
      </c>
      <c r="O54" s="8" t="s">
        <v>136</v>
      </c>
      <c r="P54" s="8">
        <v>144341</v>
      </c>
      <c r="Q54" s="8">
        <v>2</v>
      </c>
      <c r="R54" s="8">
        <v>26356</v>
      </c>
      <c r="S54" s="8">
        <v>0.39</v>
      </c>
      <c r="T54" s="8">
        <v>0.23799999999999999</v>
      </c>
      <c r="U54" s="8">
        <v>8</v>
      </c>
      <c r="V54" s="8">
        <v>1</v>
      </c>
      <c r="W54" s="8">
        <v>34</v>
      </c>
      <c r="X54" s="8">
        <v>26</v>
      </c>
      <c r="Y54" s="8">
        <v>0</v>
      </c>
      <c r="Z54" s="8">
        <v>32.773611111111109</v>
      </c>
      <c r="AA54" s="8">
        <v>35.630277777777778</v>
      </c>
      <c r="AB54" s="8" t="s">
        <v>47</v>
      </c>
      <c r="AC54" s="8">
        <v>32</v>
      </c>
      <c r="AD54" s="8">
        <v>31585</v>
      </c>
      <c r="AE54" s="8">
        <v>41869</v>
      </c>
      <c r="AF54" s="8">
        <v>34</v>
      </c>
      <c r="AG54" s="8">
        <v>1</v>
      </c>
      <c r="AH54" s="8">
        <v>0.23799999999999999</v>
      </c>
      <c r="AI54" s="8">
        <v>1</v>
      </c>
      <c r="AJ54" s="8">
        <v>9</v>
      </c>
      <c r="AK54" s="8">
        <v>14</v>
      </c>
      <c r="AL54" s="8">
        <v>5</v>
      </c>
    </row>
    <row r="55" spans="1:38" x14ac:dyDescent="0.35">
      <c r="A55" s="8" t="s">
        <v>144</v>
      </c>
      <c r="B55" s="8">
        <v>312721.8574000001</v>
      </c>
      <c r="C55" s="8">
        <v>6399430.3206999991</v>
      </c>
      <c r="D55" s="8">
        <v>2325525</v>
      </c>
      <c r="E55" s="8" t="s">
        <v>145</v>
      </c>
      <c r="F55" s="8" t="s">
        <v>146</v>
      </c>
      <c r="G55" s="8">
        <v>112693</v>
      </c>
      <c r="H55" s="8">
        <v>2</v>
      </c>
      <c r="I55" s="8" t="s">
        <v>147</v>
      </c>
      <c r="J55" s="8" t="s">
        <v>148</v>
      </c>
      <c r="K55" s="8">
        <v>122989</v>
      </c>
      <c r="L55" s="8">
        <v>2</v>
      </c>
      <c r="M55" s="8">
        <v>10296</v>
      </c>
      <c r="N55" s="8" t="s">
        <v>149</v>
      </c>
      <c r="O55" s="8" t="s">
        <v>150</v>
      </c>
      <c r="P55" s="8">
        <v>145578</v>
      </c>
      <c r="Q55" s="8">
        <v>2</v>
      </c>
      <c r="R55" s="8">
        <v>32885</v>
      </c>
      <c r="S55" s="8">
        <v>0.313</v>
      </c>
      <c r="T55" s="8">
        <v>0.51400000000000001</v>
      </c>
      <c r="U55" s="8">
        <v>27</v>
      </c>
      <c r="V55" s="8">
        <v>1</v>
      </c>
      <c r="W55" s="8">
        <v>52</v>
      </c>
      <c r="X55" s="8">
        <v>25</v>
      </c>
      <c r="Y55" s="8">
        <v>0</v>
      </c>
      <c r="Z55" s="8">
        <v>31.30361111111112</v>
      </c>
      <c r="AA55" s="8">
        <v>34.163611111111109</v>
      </c>
      <c r="AB55" s="8" t="s">
        <v>47</v>
      </c>
      <c r="AC55" s="8">
        <v>31</v>
      </c>
      <c r="AD55" s="8">
        <v>26293</v>
      </c>
      <c r="AE55" s="8">
        <v>36589</v>
      </c>
      <c r="AF55" s="8">
        <v>52</v>
      </c>
      <c r="AG55" s="8">
        <v>1</v>
      </c>
      <c r="AH55" s="8">
        <v>0.51400000000000001</v>
      </c>
      <c r="AI55" s="8">
        <v>1</v>
      </c>
      <c r="AJ55" s="8">
        <v>7</v>
      </c>
      <c r="AK55" s="8">
        <v>12</v>
      </c>
      <c r="AL55" s="8">
        <v>5</v>
      </c>
    </row>
    <row r="56" spans="1:38" x14ac:dyDescent="0.35">
      <c r="A56" s="8" t="s">
        <v>165</v>
      </c>
      <c r="B56" s="8">
        <v>317547.52749999991</v>
      </c>
      <c r="C56" s="8">
        <v>6395174.8935000002</v>
      </c>
      <c r="D56" s="8">
        <v>9534794</v>
      </c>
      <c r="E56" s="8" t="s">
        <v>166</v>
      </c>
      <c r="F56" s="8" t="s">
        <v>167</v>
      </c>
      <c r="G56" s="8">
        <v>118518</v>
      </c>
      <c r="H56" s="8">
        <v>2</v>
      </c>
      <c r="I56" s="8" t="s">
        <v>168</v>
      </c>
      <c r="J56" s="8" t="s">
        <v>169</v>
      </c>
      <c r="K56" s="8">
        <v>128869</v>
      </c>
      <c r="L56" s="8">
        <v>2</v>
      </c>
      <c r="M56" s="8">
        <v>10351</v>
      </c>
      <c r="N56" s="8" t="s">
        <v>170</v>
      </c>
      <c r="O56" s="8" t="s">
        <v>171</v>
      </c>
      <c r="P56" s="8">
        <v>144324</v>
      </c>
      <c r="Q56" s="8">
        <v>2</v>
      </c>
      <c r="R56" s="8">
        <v>25806</v>
      </c>
      <c r="S56" s="8">
        <v>0.40100000000000002</v>
      </c>
      <c r="T56" s="8">
        <v>0.63</v>
      </c>
      <c r="U56" s="8">
        <v>47</v>
      </c>
      <c r="V56" s="8">
        <v>1</v>
      </c>
      <c r="W56" s="8">
        <v>75</v>
      </c>
      <c r="X56" s="8">
        <v>28</v>
      </c>
      <c r="Y56" s="8">
        <v>0</v>
      </c>
      <c r="Z56" s="8">
        <v>32.921666666666667</v>
      </c>
      <c r="AA56" s="8">
        <v>35.796944444444442</v>
      </c>
      <c r="AB56" s="8" t="s">
        <v>47</v>
      </c>
      <c r="AC56" s="8">
        <v>32</v>
      </c>
      <c r="AD56" s="8">
        <v>32118</v>
      </c>
      <c r="AE56" s="8">
        <v>42469</v>
      </c>
      <c r="AF56" s="8">
        <v>75</v>
      </c>
      <c r="AG56" s="8">
        <v>1</v>
      </c>
      <c r="AH56" s="8">
        <v>0.63</v>
      </c>
      <c r="AI56" s="8">
        <v>1</v>
      </c>
      <c r="AJ56" s="8">
        <v>9</v>
      </c>
      <c r="AK56" s="8">
        <v>14</v>
      </c>
      <c r="AL56" s="8">
        <v>5</v>
      </c>
    </row>
    <row r="57" spans="1:38" x14ac:dyDescent="0.35">
      <c r="A57" s="8" t="s">
        <v>172</v>
      </c>
      <c r="B57" s="8">
        <v>312976.1102</v>
      </c>
      <c r="C57" s="8">
        <v>6403380.1893999996</v>
      </c>
      <c r="D57" s="8">
        <v>9458980</v>
      </c>
      <c r="E57" s="8" t="s">
        <v>173</v>
      </c>
      <c r="F57" s="8" t="s">
        <v>174</v>
      </c>
      <c r="G57" s="8">
        <v>118958</v>
      </c>
      <c r="H57" s="8">
        <v>2</v>
      </c>
      <c r="I57" s="8" t="s">
        <v>175</v>
      </c>
      <c r="J57" s="8" t="s">
        <v>176</v>
      </c>
      <c r="K57" s="8">
        <v>129309</v>
      </c>
      <c r="L57" s="8">
        <v>2</v>
      </c>
      <c r="M57" s="8">
        <v>10351</v>
      </c>
      <c r="N57" s="8" t="s">
        <v>177</v>
      </c>
      <c r="O57" s="8" t="s">
        <v>178</v>
      </c>
      <c r="P57" s="8">
        <v>154258</v>
      </c>
      <c r="Q57" s="8">
        <v>2</v>
      </c>
      <c r="R57" s="8">
        <v>35300</v>
      </c>
      <c r="S57" s="8">
        <v>0.29299999999999998</v>
      </c>
      <c r="T57" s="8">
        <v>0.56899999999999995</v>
      </c>
      <c r="U57" s="8">
        <v>34</v>
      </c>
      <c r="V57" s="8">
        <v>1</v>
      </c>
      <c r="W57" s="8">
        <v>60</v>
      </c>
      <c r="X57" s="8">
        <v>26</v>
      </c>
      <c r="Y57" s="8">
        <v>0</v>
      </c>
      <c r="Z57" s="8">
        <v>33.043888888888887</v>
      </c>
      <c r="AA57" s="8">
        <v>35.919166666666662</v>
      </c>
      <c r="AB57" s="8" t="s">
        <v>47</v>
      </c>
      <c r="AC57" s="8">
        <v>33</v>
      </c>
      <c r="AD57" s="8">
        <v>32558</v>
      </c>
      <c r="AE57" s="8">
        <v>42909</v>
      </c>
      <c r="AF57" s="8">
        <v>60</v>
      </c>
      <c r="AG57" s="8">
        <v>1</v>
      </c>
      <c r="AH57" s="8">
        <v>0.56899999999999995</v>
      </c>
      <c r="AI57" s="8">
        <v>1</v>
      </c>
      <c r="AJ57" s="8">
        <v>9</v>
      </c>
      <c r="AK57" s="8">
        <v>14</v>
      </c>
      <c r="AL57" s="8">
        <v>5</v>
      </c>
    </row>
    <row r="58" spans="1:38" x14ac:dyDescent="0.35">
      <c r="A58" s="8" t="s">
        <v>179</v>
      </c>
      <c r="B58" s="8">
        <v>315187.31910000002</v>
      </c>
      <c r="C58" s="8">
        <v>6402362.2586000003</v>
      </c>
      <c r="D58" s="8">
        <v>4792786</v>
      </c>
      <c r="E58" s="8" t="s">
        <v>180</v>
      </c>
      <c r="F58" s="8" t="s">
        <v>181</v>
      </c>
      <c r="G58" s="8">
        <v>114155</v>
      </c>
      <c r="H58" s="8">
        <v>2</v>
      </c>
      <c r="I58" s="8" t="s">
        <v>182</v>
      </c>
      <c r="J58" s="8" t="s">
        <v>183</v>
      </c>
      <c r="K58" s="8">
        <v>124514</v>
      </c>
      <c r="L58" s="8">
        <v>2</v>
      </c>
      <c r="M58" s="8">
        <v>10359</v>
      </c>
      <c r="N58" s="8" t="s">
        <v>184</v>
      </c>
      <c r="O58" s="8" t="s">
        <v>185</v>
      </c>
      <c r="P58" s="8">
        <v>146901</v>
      </c>
      <c r="Q58" s="8">
        <v>2</v>
      </c>
      <c r="R58" s="8">
        <v>32746</v>
      </c>
      <c r="S58" s="8">
        <v>0.316</v>
      </c>
      <c r="T58" s="8">
        <v>0.36699999999999999</v>
      </c>
      <c r="U58" s="8">
        <v>15</v>
      </c>
      <c r="V58" s="8">
        <v>1</v>
      </c>
      <c r="W58" s="8">
        <v>42</v>
      </c>
      <c r="X58" s="8">
        <v>27</v>
      </c>
      <c r="Y58" s="8">
        <v>0</v>
      </c>
      <c r="Z58" s="8">
        <v>31.709722222222229</v>
      </c>
      <c r="AA58" s="8">
        <v>34.587222222222223</v>
      </c>
      <c r="AB58" s="8" t="s">
        <v>47</v>
      </c>
      <c r="AC58" s="8">
        <v>31</v>
      </c>
      <c r="AD58" s="8">
        <v>27755</v>
      </c>
      <c r="AE58" s="8">
        <v>38114</v>
      </c>
      <c r="AF58" s="8">
        <v>42</v>
      </c>
      <c r="AG58" s="8">
        <v>1</v>
      </c>
      <c r="AH58" s="8">
        <v>0.36699999999999999</v>
      </c>
      <c r="AI58" s="8">
        <v>1</v>
      </c>
      <c r="AJ58" s="8">
        <v>8</v>
      </c>
      <c r="AK58" s="8">
        <v>13</v>
      </c>
      <c r="AL58" s="8">
        <v>5</v>
      </c>
    </row>
    <row r="59" spans="1:38" x14ac:dyDescent="0.35">
      <c r="A59" s="8" t="s">
        <v>193</v>
      </c>
      <c r="B59" s="8">
        <v>308598.90830000018</v>
      </c>
      <c r="C59" s="8">
        <v>6404152.4313999992</v>
      </c>
      <c r="D59" s="8">
        <v>1942028</v>
      </c>
      <c r="E59" s="8" t="s">
        <v>194</v>
      </c>
      <c r="F59" s="8" t="s">
        <v>195</v>
      </c>
      <c r="G59" s="8">
        <v>120665</v>
      </c>
      <c r="H59" s="8">
        <v>2</v>
      </c>
      <c r="I59" s="8" t="s">
        <v>196</v>
      </c>
      <c r="J59" s="8" t="s">
        <v>197</v>
      </c>
      <c r="K59" s="8">
        <v>131044</v>
      </c>
      <c r="L59" s="8">
        <v>2</v>
      </c>
      <c r="M59" s="8">
        <v>10379</v>
      </c>
      <c r="N59" s="8" t="s">
        <v>198</v>
      </c>
      <c r="O59" s="8" t="s">
        <v>199</v>
      </c>
      <c r="P59" s="8">
        <v>151003</v>
      </c>
      <c r="Q59" s="8">
        <v>2</v>
      </c>
      <c r="R59" s="8">
        <v>30338</v>
      </c>
      <c r="S59" s="8">
        <v>0.34200000000000003</v>
      </c>
      <c r="T59" s="8">
        <v>0.50900000000000001</v>
      </c>
      <c r="U59" s="8">
        <v>26</v>
      </c>
      <c r="V59" s="8">
        <v>1</v>
      </c>
      <c r="W59" s="8">
        <v>52</v>
      </c>
      <c r="X59" s="8">
        <v>26</v>
      </c>
      <c r="Y59" s="8">
        <v>0</v>
      </c>
      <c r="Z59" s="8">
        <v>33.518055555555563</v>
      </c>
      <c r="AA59" s="8">
        <v>36.401111111111113</v>
      </c>
      <c r="AB59" s="8" t="s">
        <v>47</v>
      </c>
      <c r="AC59" s="8">
        <v>33</v>
      </c>
      <c r="AD59" s="8">
        <v>34265</v>
      </c>
      <c r="AE59" s="8">
        <v>44644</v>
      </c>
      <c r="AF59" s="8">
        <v>52</v>
      </c>
      <c r="AG59" s="8">
        <v>1</v>
      </c>
      <c r="AH59" s="8">
        <v>0.50900000000000001</v>
      </c>
      <c r="AI59" s="8">
        <v>1</v>
      </c>
      <c r="AJ59" s="8">
        <v>10</v>
      </c>
      <c r="AK59" s="8">
        <v>14</v>
      </c>
      <c r="AL59" s="8">
        <v>4</v>
      </c>
    </row>
    <row r="60" spans="1:38" x14ac:dyDescent="0.35">
      <c r="A60" s="8" t="s">
        <v>200</v>
      </c>
      <c r="B60" s="8">
        <v>316082.68450000038</v>
      </c>
      <c r="C60" s="8">
        <v>6393761.3249999993</v>
      </c>
      <c r="D60" s="8">
        <v>4921947</v>
      </c>
      <c r="E60" s="8" t="s">
        <v>201</v>
      </c>
      <c r="F60" s="8" t="s">
        <v>202</v>
      </c>
      <c r="G60" s="8">
        <v>108458</v>
      </c>
      <c r="H60" s="8">
        <v>2</v>
      </c>
      <c r="I60" s="8" t="s">
        <v>203</v>
      </c>
      <c r="J60" s="8" t="s">
        <v>204</v>
      </c>
      <c r="K60" s="8">
        <v>118854</v>
      </c>
      <c r="L60" s="8">
        <v>2</v>
      </c>
      <c r="M60" s="8">
        <v>10396</v>
      </c>
      <c r="N60" s="8" t="s">
        <v>205</v>
      </c>
      <c r="O60" s="8" t="s">
        <v>206</v>
      </c>
      <c r="P60" s="8">
        <v>138794</v>
      </c>
      <c r="Q60" s="8">
        <v>2</v>
      </c>
      <c r="R60" s="8">
        <v>30336</v>
      </c>
      <c r="S60" s="8">
        <v>0.34300000000000003</v>
      </c>
      <c r="T60" s="8">
        <v>0.36399999999999999</v>
      </c>
      <c r="U60" s="8">
        <v>15</v>
      </c>
      <c r="V60" s="8">
        <v>1</v>
      </c>
      <c r="W60" s="8">
        <v>42</v>
      </c>
      <c r="X60" s="8">
        <v>27</v>
      </c>
      <c r="Y60" s="8">
        <v>0</v>
      </c>
      <c r="Z60" s="8">
        <v>30.127222222222219</v>
      </c>
      <c r="AA60" s="8">
        <v>33.015000000000001</v>
      </c>
      <c r="AB60" s="8" t="s">
        <v>47</v>
      </c>
      <c r="AC60" s="8">
        <v>30</v>
      </c>
      <c r="AD60" s="8">
        <v>22058</v>
      </c>
      <c r="AE60" s="8">
        <v>32454</v>
      </c>
      <c r="AF60" s="8">
        <v>42</v>
      </c>
      <c r="AG60" s="8">
        <v>1</v>
      </c>
      <c r="AH60" s="8">
        <v>0.36399999999999999</v>
      </c>
      <c r="AI60" s="8">
        <v>1</v>
      </c>
      <c r="AJ60" s="8">
        <v>6</v>
      </c>
      <c r="AK60" s="8">
        <v>11</v>
      </c>
      <c r="AL60" s="8">
        <v>5</v>
      </c>
    </row>
    <row r="61" spans="1:38" x14ac:dyDescent="0.35">
      <c r="A61" s="8" t="s">
        <v>207</v>
      </c>
      <c r="B61" s="8">
        <v>316014.17250000028</v>
      </c>
      <c r="C61" s="8">
        <v>6398157.0814999994</v>
      </c>
      <c r="D61" s="8">
        <v>7465779</v>
      </c>
      <c r="E61" s="8" t="s">
        <v>208</v>
      </c>
      <c r="F61" s="8" t="s">
        <v>209</v>
      </c>
      <c r="G61" s="8">
        <v>112415</v>
      </c>
      <c r="H61" s="8">
        <v>2</v>
      </c>
      <c r="I61" s="8" t="s">
        <v>210</v>
      </c>
      <c r="J61" s="8" t="s">
        <v>211</v>
      </c>
      <c r="K61" s="8">
        <v>122824</v>
      </c>
      <c r="L61" s="8">
        <v>2</v>
      </c>
      <c r="M61" s="8">
        <v>10409</v>
      </c>
      <c r="N61" s="8" t="s">
        <v>212</v>
      </c>
      <c r="O61" s="8" t="s">
        <v>213</v>
      </c>
      <c r="P61" s="8">
        <v>143918</v>
      </c>
      <c r="Q61" s="8">
        <v>2</v>
      </c>
      <c r="R61" s="8">
        <v>31503</v>
      </c>
      <c r="S61" s="8">
        <v>0.33</v>
      </c>
      <c r="T61" s="8">
        <v>0.22700000000000001</v>
      </c>
      <c r="U61" s="8">
        <v>8</v>
      </c>
      <c r="V61" s="8">
        <v>1</v>
      </c>
      <c r="W61" s="8">
        <v>34</v>
      </c>
      <c r="X61" s="8">
        <v>26</v>
      </c>
      <c r="Y61" s="8">
        <v>0</v>
      </c>
      <c r="Z61" s="8">
        <v>31.226388888888891</v>
      </c>
      <c r="AA61" s="8">
        <v>34.117777777777768</v>
      </c>
      <c r="AB61" s="8" t="s">
        <v>47</v>
      </c>
      <c r="AC61" s="8">
        <v>31</v>
      </c>
      <c r="AD61" s="8">
        <v>26015</v>
      </c>
      <c r="AE61" s="8">
        <v>36424</v>
      </c>
      <c r="AF61" s="8">
        <v>34</v>
      </c>
      <c r="AG61" s="8">
        <v>1</v>
      </c>
      <c r="AH61" s="8">
        <v>0.22700000000000001</v>
      </c>
      <c r="AI61" s="8">
        <v>1</v>
      </c>
      <c r="AJ61" s="8">
        <v>7</v>
      </c>
      <c r="AK61" s="8">
        <v>12</v>
      </c>
      <c r="AL61" s="8">
        <v>5</v>
      </c>
    </row>
    <row r="62" spans="1:38" x14ac:dyDescent="0.35">
      <c r="A62" s="8" t="s">
        <v>221</v>
      </c>
      <c r="B62" s="8">
        <v>315052.91889999987</v>
      </c>
      <c r="C62" s="8">
        <v>6396928.8142000008</v>
      </c>
      <c r="D62" s="8">
        <v>4922092</v>
      </c>
      <c r="E62" s="8" t="s">
        <v>222</v>
      </c>
      <c r="F62" s="8" t="s">
        <v>223</v>
      </c>
      <c r="G62" s="8">
        <v>133296</v>
      </c>
      <c r="H62" s="8">
        <v>2</v>
      </c>
      <c r="I62" s="8" t="s">
        <v>224</v>
      </c>
      <c r="J62" s="8" t="s">
        <v>225</v>
      </c>
      <c r="K62" s="8">
        <v>143744</v>
      </c>
      <c r="L62" s="8">
        <v>2</v>
      </c>
      <c r="M62" s="8">
        <v>10448</v>
      </c>
      <c r="N62" s="8" t="s">
        <v>224</v>
      </c>
      <c r="O62" s="8" t="s">
        <v>225</v>
      </c>
      <c r="P62" s="8">
        <v>143744</v>
      </c>
      <c r="Q62" s="8">
        <v>2</v>
      </c>
      <c r="R62" s="8">
        <v>10448</v>
      </c>
      <c r="S62" s="8">
        <v>1</v>
      </c>
      <c r="T62" s="8">
        <v>0</v>
      </c>
      <c r="U62" s="8">
        <v>0</v>
      </c>
      <c r="V62" s="8">
        <v>0.76</v>
      </c>
      <c r="W62" s="8">
        <v>32</v>
      </c>
      <c r="X62" s="8">
        <v>32</v>
      </c>
      <c r="Y62" s="8">
        <v>0</v>
      </c>
      <c r="Z62" s="8">
        <v>37.026666666666657</v>
      </c>
      <c r="AA62" s="8">
        <v>39.928888888888878</v>
      </c>
      <c r="AB62" s="8" t="s">
        <v>47</v>
      </c>
      <c r="AC62" s="8">
        <v>37</v>
      </c>
      <c r="AD62" s="8">
        <v>46896</v>
      </c>
      <c r="AE62" s="8">
        <v>57344</v>
      </c>
      <c r="AF62" s="8">
        <v>42.10526315789474</v>
      </c>
      <c r="AG62" s="8">
        <v>0.76</v>
      </c>
      <c r="AH62" s="8">
        <v>0</v>
      </c>
      <c r="AI62" s="8">
        <v>1</v>
      </c>
      <c r="AJ62" s="8">
        <v>13</v>
      </c>
      <c r="AK62" s="8">
        <v>18</v>
      </c>
      <c r="AL62" s="8">
        <v>5</v>
      </c>
    </row>
    <row r="63" spans="1:38" x14ac:dyDescent="0.35">
      <c r="A63" s="8" t="s">
        <v>266</v>
      </c>
      <c r="B63" s="8">
        <v>317850.8618999999</v>
      </c>
      <c r="C63" s="8">
        <v>6397060.0708000008</v>
      </c>
      <c r="D63" s="8">
        <v>4777988</v>
      </c>
      <c r="E63" s="8" t="s">
        <v>267</v>
      </c>
      <c r="F63" s="8" t="s">
        <v>268</v>
      </c>
      <c r="G63" s="8">
        <v>118448</v>
      </c>
      <c r="H63" s="8">
        <v>2</v>
      </c>
      <c r="I63" s="8" t="s">
        <v>269</v>
      </c>
      <c r="J63" s="8" t="s">
        <v>270</v>
      </c>
      <c r="K63" s="8">
        <v>129039</v>
      </c>
      <c r="L63" s="8">
        <v>2</v>
      </c>
      <c r="M63" s="8">
        <v>10591</v>
      </c>
      <c r="N63" s="8" t="s">
        <v>271</v>
      </c>
      <c r="O63" s="8" t="s">
        <v>272</v>
      </c>
      <c r="P63" s="8">
        <v>146937</v>
      </c>
      <c r="Q63" s="8">
        <v>2</v>
      </c>
      <c r="R63" s="8">
        <v>28489</v>
      </c>
      <c r="S63" s="8">
        <v>0.372</v>
      </c>
      <c r="T63" s="8">
        <v>0.496</v>
      </c>
      <c r="U63" s="8">
        <v>26</v>
      </c>
      <c r="V63" s="8">
        <v>1</v>
      </c>
      <c r="W63" s="8">
        <v>52</v>
      </c>
      <c r="X63" s="8">
        <v>26</v>
      </c>
      <c r="Y63" s="8">
        <v>0</v>
      </c>
      <c r="Z63" s="8">
        <v>32.902222222222221</v>
      </c>
      <c r="AA63" s="8">
        <v>35.844166666666673</v>
      </c>
      <c r="AB63" s="8" t="s">
        <v>47</v>
      </c>
      <c r="AC63" s="8">
        <v>32</v>
      </c>
      <c r="AD63" s="8">
        <v>32048</v>
      </c>
      <c r="AE63" s="8">
        <v>42639</v>
      </c>
      <c r="AF63" s="8">
        <v>52</v>
      </c>
      <c r="AG63" s="8">
        <v>1</v>
      </c>
      <c r="AH63" s="8">
        <v>0.496</v>
      </c>
      <c r="AI63" s="8">
        <v>1</v>
      </c>
      <c r="AJ63" s="8">
        <v>9</v>
      </c>
      <c r="AK63" s="8">
        <v>14</v>
      </c>
      <c r="AL63" s="8">
        <v>5</v>
      </c>
    </row>
    <row r="64" spans="1:38" x14ac:dyDescent="0.35">
      <c r="A64" s="8" t="s">
        <v>1352</v>
      </c>
      <c r="B64" s="8">
        <v>307134.40060000028</v>
      </c>
      <c r="C64" s="8">
        <v>6402243.5343999993</v>
      </c>
      <c r="D64" s="8">
        <v>2323646</v>
      </c>
      <c r="E64" s="8" t="s">
        <v>1353</v>
      </c>
      <c r="F64" s="8" t="s">
        <v>1354</v>
      </c>
      <c r="G64" s="8">
        <v>161993</v>
      </c>
      <c r="H64" s="8">
        <v>2</v>
      </c>
      <c r="I64" s="8" t="s">
        <v>1355</v>
      </c>
      <c r="J64" s="8" t="s">
        <v>87</v>
      </c>
      <c r="K64" s="8">
        <v>172614</v>
      </c>
      <c r="L64" s="8">
        <v>2</v>
      </c>
      <c r="M64" s="8">
        <v>10621</v>
      </c>
      <c r="N64" s="8" t="s">
        <v>1356</v>
      </c>
      <c r="O64" s="8" t="s">
        <v>1357</v>
      </c>
      <c r="P64" s="8">
        <v>199297</v>
      </c>
      <c r="Q64" s="8">
        <v>3</v>
      </c>
      <c r="R64" s="8">
        <v>37304</v>
      </c>
      <c r="S64" s="8">
        <v>0.28499999999999998</v>
      </c>
      <c r="T64" s="8">
        <v>0.17599999999999999</v>
      </c>
      <c r="U64" s="8">
        <v>11</v>
      </c>
      <c r="V64" s="8">
        <v>1</v>
      </c>
      <c r="W64" s="8">
        <v>60</v>
      </c>
      <c r="X64" s="8">
        <v>49</v>
      </c>
      <c r="Y64" s="8">
        <v>283.18400000000003</v>
      </c>
      <c r="Z64" s="8">
        <v>44.99805555555556</v>
      </c>
      <c r="AA64" s="8">
        <v>47.948333333333331</v>
      </c>
      <c r="AB64" s="8" t="s">
        <v>90</v>
      </c>
      <c r="AC64" s="8">
        <v>44</v>
      </c>
      <c r="AD64" s="8">
        <v>75593</v>
      </c>
      <c r="AE64" s="8">
        <v>86214</v>
      </c>
      <c r="AF64" s="8">
        <v>60</v>
      </c>
      <c r="AG64" s="8">
        <v>1</v>
      </c>
      <c r="AH64" s="8">
        <v>0.17599999999999999</v>
      </c>
      <c r="AI64" s="8">
        <v>1</v>
      </c>
      <c r="AJ64" s="8">
        <v>20</v>
      </c>
      <c r="AK64" s="8">
        <v>24</v>
      </c>
      <c r="AL64" s="8">
        <v>4</v>
      </c>
    </row>
    <row r="65" spans="1:38" x14ac:dyDescent="0.35">
      <c r="A65" s="8" t="s">
        <v>1570</v>
      </c>
      <c r="B65" s="8">
        <v>312745.80260000011</v>
      </c>
      <c r="C65" s="8">
        <v>6402821.4054000014</v>
      </c>
      <c r="D65" s="8">
        <v>7616622</v>
      </c>
      <c r="E65" s="8" t="s">
        <v>1571</v>
      </c>
      <c r="F65" s="8" t="s">
        <v>1572</v>
      </c>
      <c r="G65" s="8">
        <v>124254</v>
      </c>
      <c r="H65" s="8">
        <v>2</v>
      </c>
      <c r="I65" s="8" t="s">
        <v>1573</v>
      </c>
      <c r="J65" s="8" t="s">
        <v>1574</v>
      </c>
      <c r="K65" s="8">
        <v>134954</v>
      </c>
      <c r="L65" s="8">
        <v>2</v>
      </c>
      <c r="M65" s="8">
        <v>10700</v>
      </c>
      <c r="N65" s="8" t="s">
        <v>1575</v>
      </c>
      <c r="O65" s="8" t="s">
        <v>1576</v>
      </c>
      <c r="P65" s="8">
        <v>155823</v>
      </c>
      <c r="Q65" s="8">
        <v>2</v>
      </c>
      <c r="R65" s="8">
        <v>31569</v>
      </c>
      <c r="S65" s="8">
        <v>0.33900000000000002</v>
      </c>
      <c r="T65" s="8">
        <v>0.49</v>
      </c>
      <c r="U65" s="8">
        <v>25</v>
      </c>
      <c r="V65" s="8">
        <v>1</v>
      </c>
      <c r="W65" s="8">
        <v>52</v>
      </c>
      <c r="X65" s="8">
        <v>27</v>
      </c>
      <c r="Y65" s="8">
        <v>0</v>
      </c>
      <c r="Z65" s="8">
        <v>34.515000000000001</v>
      </c>
      <c r="AA65" s="8">
        <v>37.487222222222222</v>
      </c>
      <c r="AB65" s="8" t="s">
        <v>47</v>
      </c>
      <c r="AC65" s="8">
        <v>34</v>
      </c>
      <c r="AD65" s="8">
        <v>37854</v>
      </c>
      <c r="AE65" s="8">
        <v>48554</v>
      </c>
      <c r="AF65" s="8">
        <v>52</v>
      </c>
      <c r="AG65" s="8">
        <v>1</v>
      </c>
      <c r="AH65" s="8">
        <v>0.49</v>
      </c>
      <c r="AI65" s="8">
        <v>1</v>
      </c>
      <c r="AJ65" s="8">
        <v>11</v>
      </c>
      <c r="AK65" s="8">
        <v>15</v>
      </c>
      <c r="AL65" s="8">
        <v>4</v>
      </c>
    </row>
    <row r="66" spans="1:38" x14ac:dyDescent="0.35">
      <c r="A66" s="8" t="s">
        <v>1577</v>
      </c>
      <c r="B66" s="8">
        <v>308284.15369999968</v>
      </c>
      <c r="C66" s="8">
        <v>6388688.0219999999</v>
      </c>
      <c r="D66" s="8">
        <v>1947048</v>
      </c>
      <c r="E66" s="8" t="s">
        <v>1578</v>
      </c>
      <c r="F66" s="8" t="s">
        <v>1579</v>
      </c>
      <c r="G66" s="8">
        <v>115823</v>
      </c>
      <c r="H66" s="8">
        <v>2</v>
      </c>
      <c r="I66" s="8" t="s">
        <v>1580</v>
      </c>
      <c r="J66" s="8" t="s">
        <v>1581</v>
      </c>
      <c r="K66" s="8">
        <v>126539</v>
      </c>
      <c r="L66" s="8">
        <v>2</v>
      </c>
      <c r="M66" s="8">
        <v>10716</v>
      </c>
      <c r="N66" s="8" t="s">
        <v>1582</v>
      </c>
      <c r="O66" s="8" t="s">
        <v>1583</v>
      </c>
      <c r="P66" s="8">
        <v>147245</v>
      </c>
      <c r="Q66" s="8">
        <v>2</v>
      </c>
      <c r="R66" s="8">
        <v>31422</v>
      </c>
      <c r="S66" s="8">
        <v>0.34100000000000003</v>
      </c>
      <c r="T66" s="8">
        <v>0.55100000000000005</v>
      </c>
      <c r="U66" s="8">
        <v>33</v>
      </c>
      <c r="V66" s="8">
        <v>1</v>
      </c>
      <c r="W66" s="8">
        <v>60</v>
      </c>
      <c r="X66" s="8">
        <v>27</v>
      </c>
      <c r="Y66" s="8">
        <v>0</v>
      </c>
      <c r="Z66" s="8">
        <v>32.17305555555555</v>
      </c>
      <c r="AA66" s="8">
        <v>35.149722222222223</v>
      </c>
      <c r="AB66" s="8" t="s">
        <v>47</v>
      </c>
      <c r="AC66" s="8">
        <v>32</v>
      </c>
      <c r="AD66" s="8">
        <v>29423</v>
      </c>
      <c r="AE66" s="8">
        <v>40139</v>
      </c>
      <c r="AF66" s="8">
        <v>60</v>
      </c>
      <c r="AG66" s="8">
        <v>1</v>
      </c>
      <c r="AH66" s="8">
        <v>0.55100000000000005</v>
      </c>
      <c r="AI66" s="8">
        <v>1</v>
      </c>
      <c r="AJ66" s="8">
        <v>8</v>
      </c>
      <c r="AK66" s="8">
        <v>13</v>
      </c>
      <c r="AL66" s="8">
        <v>5</v>
      </c>
    </row>
    <row r="67" spans="1:38" x14ac:dyDescent="0.35">
      <c r="A67" s="8" t="s">
        <v>1584</v>
      </c>
      <c r="B67" s="8">
        <v>310919.15500000032</v>
      </c>
      <c r="C67" s="8">
        <v>6408550.6213000007</v>
      </c>
      <c r="D67" s="8">
        <v>2325632</v>
      </c>
      <c r="E67" s="8" t="s">
        <v>1585</v>
      </c>
      <c r="F67" s="8" t="s">
        <v>1586</v>
      </c>
      <c r="G67" s="8">
        <v>109128</v>
      </c>
      <c r="H67" s="8">
        <v>2</v>
      </c>
      <c r="I67" s="8" t="s">
        <v>1587</v>
      </c>
      <c r="J67" s="8" t="s">
        <v>1588</v>
      </c>
      <c r="K67" s="8">
        <v>119903</v>
      </c>
      <c r="L67" s="8">
        <v>2</v>
      </c>
      <c r="M67" s="8">
        <v>10775</v>
      </c>
      <c r="N67" s="8" t="s">
        <v>1587</v>
      </c>
      <c r="O67" s="8" t="s">
        <v>1588</v>
      </c>
      <c r="P67" s="8">
        <v>119903</v>
      </c>
      <c r="Q67" s="8">
        <v>2</v>
      </c>
      <c r="R67" s="8">
        <v>10775</v>
      </c>
      <c r="S67" s="8">
        <v>1</v>
      </c>
      <c r="T67" s="8">
        <v>0</v>
      </c>
      <c r="U67" s="8">
        <v>0</v>
      </c>
      <c r="V67" s="8">
        <v>0.78400000000000003</v>
      </c>
      <c r="W67" s="8">
        <v>33</v>
      </c>
      <c r="X67" s="8">
        <v>33</v>
      </c>
      <c r="Y67" s="8">
        <v>0</v>
      </c>
      <c r="Z67" s="8">
        <v>30.313333333333329</v>
      </c>
      <c r="AA67" s="8">
        <v>33.306388888888883</v>
      </c>
      <c r="AB67" s="8" t="s">
        <v>47</v>
      </c>
      <c r="AC67" s="8">
        <v>30</v>
      </c>
      <c r="AD67" s="8">
        <v>22728</v>
      </c>
      <c r="AE67" s="8">
        <v>33503</v>
      </c>
      <c r="AF67" s="8">
        <v>42.091836734693878</v>
      </c>
      <c r="AG67" s="8">
        <v>0.78400000000000003</v>
      </c>
      <c r="AH67" s="8">
        <v>0</v>
      </c>
      <c r="AI67" s="8">
        <v>1</v>
      </c>
      <c r="AJ67" s="8">
        <v>6</v>
      </c>
      <c r="AK67" s="8">
        <v>11</v>
      </c>
      <c r="AL67" s="8">
        <v>5</v>
      </c>
    </row>
    <row r="68" spans="1:38" x14ac:dyDescent="0.35">
      <c r="A68" s="8" t="s">
        <v>1437</v>
      </c>
      <c r="B68" s="8">
        <v>313940.40610000031</v>
      </c>
      <c r="C68" s="8">
        <v>6397492.4796999991</v>
      </c>
      <c r="D68" s="8">
        <v>5897562</v>
      </c>
      <c r="E68" s="8" t="s">
        <v>1589</v>
      </c>
      <c r="F68" s="8" t="s">
        <v>1590</v>
      </c>
      <c r="G68" s="8">
        <v>165597</v>
      </c>
      <c r="H68" s="8">
        <v>2</v>
      </c>
      <c r="I68" s="8" t="s">
        <v>1591</v>
      </c>
      <c r="J68" s="8" t="s">
        <v>87</v>
      </c>
      <c r="K68" s="8">
        <v>176429</v>
      </c>
      <c r="L68" s="8">
        <v>3</v>
      </c>
      <c r="M68" s="8">
        <v>10832</v>
      </c>
      <c r="N68" s="8" t="s">
        <v>1592</v>
      </c>
      <c r="O68" s="8" t="s">
        <v>1593</v>
      </c>
      <c r="P68" s="8">
        <v>204952</v>
      </c>
      <c r="Q68" s="8">
        <v>3</v>
      </c>
      <c r="R68" s="8">
        <v>39355</v>
      </c>
      <c r="S68" s="8">
        <v>0.27500000000000002</v>
      </c>
      <c r="T68" s="8">
        <v>0.25900000000000001</v>
      </c>
      <c r="U68" s="8">
        <v>19</v>
      </c>
      <c r="V68" s="8">
        <v>1</v>
      </c>
      <c r="W68" s="8">
        <v>75</v>
      </c>
      <c r="X68" s="8">
        <v>56</v>
      </c>
      <c r="Y68" s="8">
        <v>264.75900000000001</v>
      </c>
      <c r="Z68" s="8">
        <v>45.999166666666667</v>
      </c>
      <c r="AA68" s="8">
        <v>49.008055555555558</v>
      </c>
      <c r="AB68" s="8" t="s">
        <v>90</v>
      </c>
      <c r="AC68" s="8">
        <v>45</v>
      </c>
      <c r="AD68" s="8">
        <v>79197</v>
      </c>
      <c r="AE68" s="8">
        <v>86214</v>
      </c>
      <c r="AF68" s="8">
        <v>75</v>
      </c>
      <c r="AG68" s="8">
        <v>1</v>
      </c>
      <c r="AH68" s="8">
        <v>0.25900000000000001</v>
      </c>
      <c r="AI68" s="8">
        <v>1</v>
      </c>
      <c r="AJ68" s="8">
        <v>20</v>
      </c>
      <c r="AK68" s="8">
        <v>24</v>
      </c>
      <c r="AL68" s="8">
        <v>4</v>
      </c>
    </row>
    <row r="69" spans="1:38" x14ac:dyDescent="0.35">
      <c r="A69" s="8" t="s">
        <v>1594</v>
      </c>
      <c r="B69" s="8">
        <v>312946.18709999969</v>
      </c>
      <c r="C69" s="8">
        <v>6403089.1571000004</v>
      </c>
      <c r="D69" s="8">
        <v>9540214</v>
      </c>
      <c r="E69" s="8" t="s">
        <v>1359</v>
      </c>
      <c r="F69" s="8" t="s">
        <v>1360</v>
      </c>
      <c r="G69" s="8">
        <v>112950</v>
      </c>
      <c r="H69" s="8">
        <v>2</v>
      </c>
      <c r="I69" s="8" t="s">
        <v>1595</v>
      </c>
      <c r="J69" s="8" t="s">
        <v>1596</v>
      </c>
      <c r="K69" s="8">
        <v>123939</v>
      </c>
      <c r="L69" s="8">
        <v>2</v>
      </c>
      <c r="M69" s="8">
        <v>10989</v>
      </c>
      <c r="N69" s="8" t="s">
        <v>1597</v>
      </c>
      <c r="O69" s="8" t="s">
        <v>1598</v>
      </c>
      <c r="P69" s="8">
        <v>144731</v>
      </c>
      <c r="Q69" s="8">
        <v>2</v>
      </c>
      <c r="R69" s="8">
        <v>31781</v>
      </c>
      <c r="S69" s="8">
        <v>0.34599999999999997</v>
      </c>
      <c r="T69" s="8">
        <v>0.32100000000000001</v>
      </c>
      <c r="U69" s="8">
        <v>13</v>
      </c>
      <c r="V69" s="8">
        <v>1</v>
      </c>
      <c r="W69" s="8">
        <v>42</v>
      </c>
      <c r="X69" s="8">
        <v>29</v>
      </c>
      <c r="Y69" s="8">
        <v>0</v>
      </c>
      <c r="Z69" s="8">
        <v>31.375</v>
      </c>
      <c r="AA69" s="8">
        <v>34.427499999999988</v>
      </c>
      <c r="AB69" s="8" t="s">
        <v>47</v>
      </c>
      <c r="AC69" s="8">
        <v>31</v>
      </c>
      <c r="AD69" s="8">
        <v>26550</v>
      </c>
      <c r="AE69" s="8">
        <v>37539</v>
      </c>
      <c r="AF69" s="8">
        <v>42</v>
      </c>
      <c r="AG69" s="8">
        <v>1</v>
      </c>
      <c r="AH69" s="8">
        <v>0.32100000000000001</v>
      </c>
      <c r="AI69" s="8">
        <v>1</v>
      </c>
      <c r="AJ69" s="8">
        <v>7</v>
      </c>
      <c r="AK69" s="8">
        <v>12</v>
      </c>
      <c r="AL69" s="8">
        <v>5</v>
      </c>
    </row>
    <row r="70" spans="1:38" x14ac:dyDescent="0.35">
      <c r="A70" s="8" t="s">
        <v>1599</v>
      </c>
      <c r="B70" s="8">
        <v>316782.19550000038</v>
      </c>
      <c r="C70" s="8">
        <v>6401370.4171999991</v>
      </c>
      <c r="D70" s="8">
        <v>1870234</v>
      </c>
      <c r="E70" s="8" t="s">
        <v>1600</v>
      </c>
      <c r="F70" s="8" t="s">
        <v>1601</v>
      </c>
      <c r="G70" s="8">
        <v>113402</v>
      </c>
      <c r="H70" s="8">
        <v>2</v>
      </c>
      <c r="I70" s="8" t="s">
        <v>182</v>
      </c>
      <c r="J70" s="8" t="s">
        <v>183</v>
      </c>
      <c r="K70" s="8">
        <v>124514</v>
      </c>
      <c r="L70" s="8">
        <v>2</v>
      </c>
      <c r="M70" s="8">
        <v>11112</v>
      </c>
      <c r="N70" s="8" t="s">
        <v>1602</v>
      </c>
      <c r="O70" s="8" t="s">
        <v>1603</v>
      </c>
      <c r="P70" s="8">
        <v>142571</v>
      </c>
      <c r="Q70" s="8">
        <v>2</v>
      </c>
      <c r="R70" s="8">
        <v>29169</v>
      </c>
      <c r="S70" s="8">
        <v>0.38100000000000001</v>
      </c>
      <c r="T70" s="8">
        <v>0.46600000000000003</v>
      </c>
      <c r="U70" s="8">
        <v>24</v>
      </c>
      <c r="V70" s="8">
        <v>1</v>
      </c>
      <c r="W70" s="8">
        <v>52</v>
      </c>
      <c r="X70" s="8">
        <v>28</v>
      </c>
      <c r="Y70" s="8">
        <v>0</v>
      </c>
      <c r="Z70" s="8">
        <v>31.500555555555561</v>
      </c>
      <c r="AA70" s="8">
        <v>34.587222222222223</v>
      </c>
      <c r="AB70" s="8" t="s">
        <v>47</v>
      </c>
      <c r="AC70" s="8">
        <v>31</v>
      </c>
      <c r="AD70" s="8">
        <v>27002</v>
      </c>
      <c r="AE70" s="8">
        <v>38114</v>
      </c>
      <c r="AF70" s="8">
        <v>52</v>
      </c>
      <c r="AG70" s="8">
        <v>1</v>
      </c>
      <c r="AH70" s="8">
        <v>0.46600000000000003</v>
      </c>
      <c r="AI70" s="8">
        <v>1</v>
      </c>
      <c r="AJ70" s="8">
        <v>8</v>
      </c>
      <c r="AK70" s="8">
        <v>13</v>
      </c>
      <c r="AL70" s="8">
        <v>5</v>
      </c>
    </row>
    <row r="71" spans="1:38" x14ac:dyDescent="0.35">
      <c r="A71" s="8" t="s">
        <v>1604</v>
      </c>
      <c r="B71" s="8">
        <v>316894.49799999967</v>
      </c>
      <c r="C71" s="8">
        <v>6395616.1009999998</v>
      </c>
      <c r="D71" s="8">
        <v>2327251</v>
      </c>
      <c r="E71" s="8" t="s">
        <v>1605</v>
      </c>
      <c r="F71" s="8" t="s">
        <v>1606</v>
      </c>
      <c r="G71" s="8">
        <v>139737</v>
      </c>
      <c r="H71" s="8">
        <v>2</v>
      </c>
      <c r="I71" s="8" t="s">
        <v>1607</v>
      </c>
      <c r="J71" s="8" t="s">
        <v>1608</v>
      </c>
      <c r="K71" s="8">
        <v>150869</v>
      </c>
      <c r="L71" s="8">
        <v>2</v>
      </c>
      <c r="M71" s="8">
        <v>11132</v>
      </c>
      <c r="N71" s="8" t="s">
        <v>1609</v>
      </c>
      <c r="O71" s="8" t="s">
        <v>1610</v>
      </c>
      <c r="P71" s="8">
        <v>163133</v>
      </c>
      <c r="Q71" s="8">
        <v>2</v>
      </c>
      <c r="R71" s="8">
        <v>23396</v>
      </c>
      <c r="S71" s="8">
        <v>0.47599999999999998</v>
      </c>
      <c r="T71" s="8">
        <v>5.0000000000000001E-3</v>
      </c>
      <c r="U71" s="8">
        <v>0</v>
      </c>
      <c r="V71" s="8">
        <v>1</v>
      </c>
      <c r="W71" s="8">
        <v>52</v>
      </c>
      <c r="X71" s="8">
        <v>52</v>
      </c>
      <c r="Y71" s="8">
        <v>178.73500000000001</v>
      </c>
      <c r="Z71" s="8">
        <v>38.81583333333333</v>
      </c>
      <c r="AA71" s="8">
        <v>41.908055555555563</v>
      </c>
      <c r="AB71" s="8" t="s">
        <v>90</v>
      </c>
      <c r="AC71" s="8">
        <v>38</v>
      </c>
      <c r="AD71" s="8">
        <v>53337</v>
      </c>
      <c r="AE71" s="8">
        <v>64469</v>
      </c>
      <c r="AF71" s="8">
        <v>52</v>
      </c>
      <c r="AG71" s="8">
        <v>1</v>
      </c>
      <c r="AH71" s="8">
        <v>5.0000000000000001E-3</v>
      </c>
      <c r="AI71" s="8">
        <v>1</v>
      </c>
      <c r="AJ71" s="8">
        <v>15</v>
      </c>
      <c r="AK71" s="8">
        <v>20</v>
      </c>
      <c r="AL71" s="8">
        <v>5</v>
      </c>
    </row>
    <row r="72" spans="1:38" x14ac:dyDescent="0.35">
      <c r="A72" s="8" t="s">
        <v>1611</v>
      </c>
      <c r="B72" s="8">
        <v>316292.35200000001</v>
      </c>
      <c r="C72" s="8">
        <v>6398803.6554000014</v>
      </c>
      <c r="D72" s="8">
        <v>1983421</v>
      </c>
      <c r="E72" s="8" t="s">
        <v>1612</v>
      </c>
      <c r="F72" s="8" t="s">
        <v>1613</v>
      </c>
      <c r="G72" s="8">
        <v>115212</v>
      </c>
      <c r="H72" s="8">
        <v>2</v>
      </c>
      <c r="I72" s="8" t="s">
        <v>1614</v>
      </c>
      <c r="J72" s="8" t="s">
        <v>1615</v>
      </c>
      <c r="K72" s="8">
        <v>126369</v>
      </c>
      <c r="L72" s="8">
        <v>2</v>
      </c>
      <c r="M72" s="8">
        <v>11157</v>
      </c>
      <c r="N72" s="8" t="s">
        <v>1616</v>
      </c>
      <c r="O72" s="8" t="s">
        <v>1617</v>
      </c>
      <c r="P72" s="8">
        <v>145509</v>
      </c>
      <c r="Q72" s="8">
        <v>2</v>
      </c>
      <c r="R72" s="8">
        <v>30297</v>
      </c>
      <c r="S72" s="8">
        <v>0.36799999999999999</v>
      </c>
      <c r="T72" s="8">
        <v>0.46300000000000002</v>
      </c>
      <c r="U72" s="8">
        <v>24</v>
      </c>
      <c r="V72" s="8">
        <v>1</v>
      </c>
      <c r="W72" s="8">
        <v>52</v>
      </c>
      <c r="X72" s="8">
        <v>28</v>
      </c>
      <c r="Y72" s="8">
        <v>0</v>
      </c>
      <c r="Z72" s="8">
        <v>32.00333333333333</v>
      </c>
      <c r="AA72" s="8">
        <v>35.102499999999999</v>
      </c>
      <c r="AB72" s="8" t="s">
        <v>47</v>
      </c>
      <c r="AC72" s="8">
        <v>32</v>
      </c>
      <c r="AD72" s="8">
        <v>28812</v>
      </c>
      <c r="AE72" s="8">
        <v>39969</v>
      </c>
      <c r="AF72" s="8">
        <v>52</v>
      </c>
      <c r="AG72" s="8">
        <v>1</v>
      </c>
      <c r="AH72" s="8">
        <v>0.46300000000000002</v>
      </c>
      <c r="AI72" s="8">
        <v>1</v>
      </c>
      <c r="AJ72" s="8">
        <v>8</v>
      </c>
      <c r="AK72" s="8">
        <v>13</v>
      </c>
      <c r="AL72" s="8">
        <v>5</v>
      </c>
    </row>
    <row r="73" spans="1:38" x14ac:dyDescent="0.35">
      <c r="A73" s="8" t="s">
        <v>1618</v>
      </c>
      <c r="B73" s="8">
        <v>313695.53170000023</v>
      </c>
      <c r="C73" s="8">
        <v>6395895.6275999993</v>
      </c>
      <c r="D73" s="8">
        <v>2313367</v>
      </c>
      <c r="E73" s="8" t="s">
        <v>1619</v>
      </c>
      <c r="F73" s="8" t="s">
        <v>1620</v>
      </c>
      <c r="G73" s="8">
        <v>117797</v>
      </c>
      <c r="H73" s="8">
        <v>2</v>
      </c>
      <c r="I73" s="8" t="s">
        <v>1621</v>
      </c>
      <c r="J73" s="8" t="s">
        <v>1622</v>
      </c>
      <c r="K73" s="8">
        <v>128999</v>
      </c>
      <c r="L73" s="8">
        <v>2</v>
      </c>
      <c r="M73" s="8">
        <v>11202</v>
      </c>
      <c r="N73" s="8" t="s">
        <v>1623</v>
      </c>
      <c r="O73" s="8" t="s">
        <v>1624</v>
      </c>
      <c r="P73" s="8">
        <v>145546</v>
      </c>
      <c r="Q73" s="8">
        <v>2</v>
      </c>
      <c r="R73" s="8">
        <v>27749</v>
      </c>
      <c r="S73" s="8">
        <v>0.40400000000000003</v>
      </c>
      <c r="T73" s="8">
        <v>0.46</v>
      </c>
      <c r="U73" s="8">
        <v>24</v>
      </c>
      <c r="V73" s="8">
        <v>1</v>
      </c>
      <c r="W73" s="8">
        <v>52</v>
      </c>
      <c r="X73" s="8">
        <v>28</v>
      </c>
      <c r="Y73" s="8">
        <v>0</v>
      </c>
      <c r="Z73" s="8">
        <v>32.721388888888889</v>
      </c>
      <c r="AA73" s="8">
        <v>35.833055555555561</v>
      </c>
      <c r="AB73" s="8" t="s">
        <v>47</v>
      </c>
      <c r="AC73" s="8">
        <v>32</v>
      </c>
      <c r="AD73" s="8">
        <v>31397</v>
      </c>
      <c r="AE73" s="8">
        <v>42599</v>
      </c>
      <c r="AF73" s="8">
        <v>52</v>
      </c>
      <c r="AG73" s="8">
        <v>1</v>
      </c>
      <c r="AH73" s="8">
        <v>0.46</v>
      </c>
      <c r="AI73" s="8">
        <v>1</v>
      </c>
      <c r="AJ73" s="8">
        <v>9</v>
      </c>
      <c r="AK73" s="8">
        <v>14</v>
      </c>
      <c r="AL73" s="8">
        <v>5</v>
      </c>
    </row>
    <row r="74" spans="1:38" x14ac:dyDescent="0.35">
      <c r="A74" s="8" t="s">
        <v>1625</v>
      </c>
      <c r="B74" s="8">
        <v>315667.80719999969</v>
      </c>
      <c r="C74" s="8">
        <v>6402896.4730999991</v>
      </c>
      <c r="D74" s="8">
        <v>1838191</v>
      </c>
      <c r="E74" s="8" t="s">
        <v>1626</v>
      </c>
      <c r="F74" s="8" t="s">
        <v>1627</v>
      </c>
      <c r="G74" s="8">
        <v>118369</v>
      </c>
      <c r="H74" s="8">
        <v>2</v>
      </c>
      <c r="I74" s="8" t="s">
        <v>1628</v>
      </c>
      <c r="J74" s="8" t="s">
        <v>1629</v>
      </c>
      <c r="K74" s="8">
        <v>129684</v>
      </c>
      <c r="L74" s="8">
        <v>2</v>
      </c>
      <c r="M74" s="8">
        <v>11315</v>
      </c>
      <c r="N74" s="8" t="s">
        <v>1630</v>
      </c>
      <c r="O74" s="8" t="s">
        <v>1631</v>
      </c>
      <c r="P74" s="8">
        <v>148787</v>
      </c>
      <c r="Q74" s="8">
        <v>2</v>
      </c>
      <c r="R74" s="8">
        <v>30418</v>
      </c>
      <c r="S74" s="8">
        <v>0.372</v>
      </c>
      <c r="T74" s="8">
        <v>0.45400000000000001</v>
      </c>
      <c r="U74" s="8">
        <v>24</v>
      </c>
      <c r="V74" s="8">
        <v>1</v>
      </c>
      <c r="W74" s="8">
        <v>52</v>
      </c>
      <c r="X74" s="8">
        <v>28</v>
      </c>
      <c r="Y74" s="8">
        <v>0</v>
      </c>
      <c r="Z74" s="8">
        <v>32.880277777777778</v>
      </c>
      <c r="AA74" s="8">
        <v>36.023333333333333</v>
      </c>
      <c r="AB74" s="8" t="s">
        <v>47</v>
      </c>
      <c r="AC74" s="8">
        <v>32</v>
      </c>
      <c r="AD74" s="8">
        <v>31969</v>
      </c>
      <c r="AE74" s="8">
        <v>43284</v>
      </c>
      <c r="AF74" s="8">
        <v>52</v>
      </c>
      <c r="AG74" s="8">
        <v>1</v>
      </c>
      <c r="AH74" s="8">
        <v>0.45400000000000001</v>
      </c>
      <c r="AI74" s="8">
        <v>1</v>
      </c>
      <c r="AJ74" s="8">
        <v>9</v>
      </c>
      <c r="AK74" s="8">
        <v>14</v>
      </c>
      <c r="AL74" s="8">
        <v>5</v>
      </c>
    </row>
    <row r="75" spans="1:38" x14ac:dyDescent="0.35">
      <c r="A75" s="8" t="s">
        <v>1632</v>
      </c>
      <c r="B75" s="8">
        <v>308114.28610000008</v>
      </c>
      <c r="C75" s="8">
        <v>6400849.5624000002</v>
      </c>
      <c r="D75" s="8">
        <v>7617217</v>
      </c>
      <c r="E75" s="8" t="s">
        <v>1633</v>
      </c>
      <c r="F75" s="8" t="s">
        <v>1634</v>
      </c>
      <c r="G75" s="8">
        <v>129558</v>
      </c>
      <c r="H75" s="8">
        <v>2</v>
      </c>
      <c r="I75" s="8" t="s">
        <v>1635</v>
      </c>
      <c r="J75" s="8" t="s">
        <v>1636</v>
      </c>
      <c r="K75" s="8">
        <v>140914</v>
      </c>
      <c r="L75" s="8">
        <v>2</v>
      </c>
      <c r="M75" s="8">
        <v>11356</v>
      </c>
      <c r="N75" s="8" t="s">
        <v>1637</v>
      </c>
      <c r="O75" s="8" t="s">
        <v>1638</v>
      </c>
      <c r="P75" s="8">
        <v>159010</v>
      </c>
      <c r="Q75" s="8">
        <v>2</v>
      </c>
      <c r="R75" s="8">
        <v>29452</v>
      </c>
      <c r="S75" s="8">
        <v>0.38600000000000001</v>
      </c>
      <c r="T75" s="8">
        <v>0.29399999999999998</v>
      </c>
      <c r="U75" s="8">
        <v>12</v>
      </c>
      <c r="V75" s="8">
        <v>1</v>
      </c>
      <c r="W75" s="8">
        <v>42</v>
      </c>
      <c r="X75" s="8">
        <v>30</v>
      </c>
      <c r="Y75" s="8">
        <v>0</v>
      </c>
      <c r="Z75" s="8">
        <v>35.988333333333337</v>
      </c>
      <c r="AA75" s="8">
        <v>39.142777777777781</v>
      </c>
      <c r="AB75" s="8" t="s">
        <v>47</v>
      </c>
      <c r="AC75" s="8">
        <v>35</v>
      </c>
      <c r="AD75" s="8">
        <v>43158</v>
      </c>
      <c r="AE75" s="8">
        <v>54514</v>
      </c>
      <c r="AF75" s="8">
        <v>42</v>
      </c>
      <c r="AG75" s="8">
        <v>1</v>
      </c>
      <c r="AH75" s="8">
        <v>0.29399999999999998</v>
      </c>
      <c r="AI75" s="8">
        <v>1</v>
      </c>
      <c r="AJ75" s="8">
        <v>12</v>
      </c>
      <c r="AK75" s="8">
        <v>17</v>
      </c>
      <c r="AL75" s="8">
        <v>5</v>
      </c>
    </row>
    <row r="76" spans="1:38" x14ac:dyDescent="0.35">
      <c r="A76" s="8" t="s">
        <v>1639</v>
      </c>
      <c r="B76" s="8">
        <v>310775.42920000007</v>
      </c>
      <c r="C76" s="8">
        <v>6399740.5228000004</v>
      </c>
      <c r="D76" s="8">
        <v>1882851</v>
      </c>
      <c r="E76" s="8" t="s">
        <v>1640</v>
      </c>
      <c r="F76" s="8" t="s">
        <v>1641</v>
      </c>
      <c r="G76" s="8">
        <v>111819</v>
      </c>
      <c r="H76" s="8">
        <v>2</v>
      </c>
      <c r="I76" s="8" t="s">
        <v>1642</v>
      </c>
      <c r="J76" s="8" t="s">
        <v>1643</v>
      </c>
      <c r="K76" s="8">
        <v>123189</v>
      </c>
      <c r="L76" s="8">
        <v>2</v>
      </c>
      <c r="M76" s="8">
        <v>11370</v>
      </c>
      <c r="N76" s="8" t="s">
        <v>1644</v>
      </c>
      <c r="O76" s="8" t="s">
        <v>1645</v>
      </c>
      <c r="P76" s="8">
        <v>146289</v>
      </c>
      <c r="Q76" s="8">
        <v>2</v>
      </c>
      <c r="R76" s="8">
        <v>34470</v>
      </c>
      <c r="S76" s="8">
        <v>0.33</v>
      </c>
      <c r="T76" s="8">
        <v>0.29299999999999998</v>
      </c>
      <c r="U76" s="8">
        <v>12</v>
      </c>
      <c r="V76" s="8">
        <v>1</v>
      </c>
      <c r="W76" s="8">
        <v>42</v>
      </c>
      <c r="X76" s="8">
        <v>30</v>
      </c>
      <c r="Y76" s="8">
        <v>0</v>
      </c>
      <c r="Z76" s="8">
        <v>31.060833333333331</v>
      </c>
      <c r="AA76" s="8">
        <v>34.219166666666673</v>
      </c>
      <c r="AB76" s="8" t="s">
        <v>47</v>
      </c>
      <c r="AC76" s="8">
        <v>31</v>
      </c>
      <c r="AD76" s="8">
        <v>25419</v>
      </c>
      <c r="AE76" s="8">
        <v>36789</v>
      </c>
      <c r="AF76" s="8">
        <v>42</v>
      </c>
      <c r="AG76" s="8">
        <v>1</v>
      </c>
      <c r="AH76" s="8">
        <v>0.29299999999999998</v>
      </c>
      <c r="AI76" s="8">
        <v>1</v>
      </c>
      <c r="AJ76" s="8">
        <v>7</v>
      </c>
      <c r="AK76" s="8">
        <v>12</v>
      </c>
      <c r="AL76" s="8">
        <v>5</v>
      </c>
    </row>
    <row r="77" spans="1:38" x14ac:dyDescent="0.35">
      <c r="A77" s="8" t="s">
        <v>1646</v>
      </c>
      <c r="B77" s="8">
        <v>314787.71119999979</v>
      </c>
      <c r="C77" s="8">
        <v>6395213.7340999991</v>
      </c>
      <c r="D77" s="8">
        <v>7615882</v>
      </c>
      <c r="E77" s="8" t="s">
        <v>1647</v>
      </c>
      <c r="F77" s="8" t="s">
        <v>1648</v>
      </c>
      <c r="G77" s="8">
        <v>116848</v>
      </c>
      <c r="H77" s="8">
        <v>2</v>
      </c>
      <c r="I77" s="8" t="s">
        <v>1649</v>
      </c>
      <c r="J77" s="8" t="s">
        <v>1650</v>
      </c>
      <c r="K77" s="8">
        <v>128279</v>
      </c>
      <c r="L77" s="8">
        <v>2</v>
      </c>
      <c r="M77" s="8">
        <v>11431</v>
      </c>
      <c r="N77" s="8" t="s">
        <v>1651</v>
      </c>
      <c r="O77" s="8" t="s">
        <v>1652</v>
      </c>
      <c r="P77" s="8">
        <v>153873</v>
      </c>
      <c r="Q77" s="8">
        <v>2</v>
      </c>
      <c r="R77" s="8">
        <v>37025</v>
      </c>
      <c r="S77" s="8">
        <v>0.309</v>
      </c>
      <c r="T77" s="8">
        <v>0.51400000000000001</v>
      </c>
      <c r="U77" s="8">
        <v>31</v>
      </c>
      <c r="V77" s="8">
        <v>1</v>
      </c>
      <c r="W77" s="8">
        <v>60</v>
      </c>
      <c r="X77" s="8">
        <v>29</v>
      </c>
      <c r="Y77" s="8">
        <v>0</v>
      </c>
      <c r="Z77" s="8">
        <v>32.457777777777778</v>
      </c>
      <c r="AA77" s="8">
        <v>35.633055555555558</v>
      </c>
      <c r="AB77" s="8" t="s">
        <v>47</v>
      </c>
      <c r="AC77" s="8">
        <v>32</v>
      </c>
      <c r="AD77" s="8">
        <v>30448</v>
      </c>
      <c r="AE77" s="8">
        <v>41879</v>
      </c>
      <c r="AF77" s="8">
        <v>60</v>
      </c>
      <c r="AG77" s="8">
        <v>1</v>
      </c>
      <c r="AH77" s="8">
        <v>0.51400000000000001</v>
      </c>
      <c r="AI77" s="8">
        <v>1</v>
      </c>
      <c r="AJ77" s="8">
        <v>8</v>
      </c>
      <c r="AK77" s="8">
        <v>14</v>
      </c>
      <c r="AL77" s="8">
        <v>6</v>
      </c>
    </row>
    <row r="78" spans="1:38" x14ac:dyDescent="0.35">
      <c r="A78" s="8" t="s">
        <v>1653</v>
      </c>
      <c r="B78" s="8">
        <v>314595.48220000038</v>
      </c>
      <c r="C78" s="8">
        <v>6402456.9515000004</v>
      </c>
      <c r="D78" s="8">
        <v>1999747</v>
      </c>
      <c r="E78" s="8" t="s">
        <v>1654</v>
      </c>
      <c r="F78" s="8" t="s">
        <v>1655</v>
      </c>
      <c r="G78" s="8">
        <v>118185</v>
      </c>
      <c r="H78" s="8">
        <v>2</v>
      </c>
      <c r="I78" s="8" t="s">
        <v>1656</v>
      </c>
      <c r="J78" s="8" t="s">
        <v>1657</v>
      </c>
      <c r="K78" s="8">
        <v>129689</v>
      </c>
      <c r="L78" s="8">
        <v>2</v>
      </c>
      <c r="M78" s="8">
        <v>11504</v>
      </c>
      <c r="N78" s="8" t="s">
        <v>1658</v>
      </c>
      <c r="O78" s="8" t="s">
        <v>1659</v>
      </c>
      <c r="P78" s="8">
        <v>152043</v>
      </c>
      <c r="Q78" s="8">
        <v>2</v>
      </c>
      <c r="R78" s="8">
        <v>33858</v>
      </c>
      <c r="S78" s="8">
        <v>0.34</v>
      </c>
      <c r="T78" s="8">
        <v>0.51100000000000001</v>
      </c>
      <c r="U78" s="8">
        <v>31</v>
      </c>
      <c r="V78" s="8">
        <v>1</v>
      </c>
      <c r="W78" s="8">
        <v>60</v>
      </c>
      <c r="X78" s="8">
        <v>29</v>
      </c>
      <c r="Y78" s="8">
        <v>0</v>
      </c>
      <c r="Z78" s="8">
        <v>32.829166666666673</v>
      </c>
      <c r="AA78" s="8">
        <v>36.024722222222223</v>
      </c>
      <c r="AB78" s="8" t="s">
        <v>47</v>
      </c>
      <c r="AC78" s="8">
        <v>32</v>
      </c>
      <c r="AD78" s="8">
        <v>31785</v>
      </c>
      <c r="AE78" s="8">
        <v>43289</v>
      </c>
      <c r="AF78" s="8">
        <v>60</v>
      </c>
      <c r="AG78" s="8">
        <v>1</v>
      </c>
      <c r="AH78" s="8">
        <v>0.51100000000000001</v>
      </c>
      <c r="AI78" s="8">
        <v>1</v>
      </c>
      <c r="AJ78" s="8">
        <v>9</v>
      </c>
      <c r="AK78" s="8">
        <v>14</v>
      </c>
      <c r="AL78" s="8">
        <v>5</v>
      </c>
    </row>
    <row r="79" spans="1:38" x14ac:dyDescent="0.35">
      <c r="A79" s="8" t="s">
        <v>1660</v>
      </c>
      <c r="B79" s="8">
        <v>316540.60470000003</v>
      </c>
      <c r="C79" s="8">
        <v>6401266.5892999992</v>
      </c>
      <c r="D79" s="8">
        <v>1966563</v>
      </c>
      <c r="E79" s="8" t="s">
        <v>1661</v>
      </c>
      <c r="F79" s="8" t="s">
        <v>1662</v>
      </c>
      <c r="G79" s="8">
        <v>114295</v>
      </c>
      <c r="H79" s="8">
        <v>2</v>
      </c>
      <c r="I79" s="8" t="s">
        <v>928</v>
      </c>
      <c r="J79" s="8" t="s">
        <v>929</v>
      </c>
      <c r="K79" s="8">
        <v>125834</v>
      </c>
      <c r="L79" s="8">
        <v>2</v>
      </c>
      <c r="M79" s="8">
        <v>11539</v>
      </c>
      <c r="N79" s="8" t="s">
        <v>1663</v>
      </c>
      <c r="O79" s="8" t="s">
        <v>1664</v>
      </c>
      <c r="P79" s="8">
        <v>148094</v>
      </c>
      <c r="Q79" s="8">
        <v>2</v>
      </c>
      <c r="R79" s="8">
        <v>33799</v>
      </c>
      <c r="S79" s="8">
        <v>0.34100000000000003</v>
      </c>
      <c r="T79" s="8">
        <v>0.50900000000000001</v>
      </c>
      <c r="U79" s="8">
        <v>31</v>
      </c>
      <c r="V79" s="8">
        <v>1</v>
      </c>
      <c r="W79" s="8">
        <v>60</v>
      </c>
      <c r="X79" s="8">
        <v>29</v>
      </c>
      <c r="Y79" s="8">
        <v>0</v>
      </c>
      <c r="Z79" s="8">
        <v>31.748611111111121</v>
      </c>
      <c r="AA79" s="8">
        <v>34.953888888888891</v>
      </c>
      <c r="AB79" s="8" t="s">
        <v>47</v>
      </c>
      <c r="AC79" s="8">
        <v>31</v>
      </c>
      <c r="AD79" s="8">
        <v>27895</v>
      </c>
      <c r="AE79" s="8">
        <v>39434</v>
      </c>
      <c r="AF79" s="8">
        <v>60</v>
      </c>
      <c r="AG79" s="8">
        <v>1</v>
      </c>
      <c r="AH79" s="8">
        <v>0.50900000000000001</v>
      </c>
      <c r="AI79" s="8">
        <v>1</v>
      </c>
      <c r="AJ79" s="8">
        <v>8</v>
      </c>
      <c r="AK79" s="8">
        <v>13</v>
      </c>
      <c r="AL79" s="8">
        <v>5</v>
      </c>
    </row>
    <row r="80" spans="1:38" x14ac:dyDescent="0.35">
      <c r="A80" s="8" t="s">
        <v>1665</v>
      </c>
      <c r="B80" s="8">
        <v>310683.26649999991</v>
      </c>
      <c r="C80" s="8">
        <v>6399891.6634999998</v>
      </c>
      <c r="D80" s="8">
        <v>1940976</v>
      </c>
      <c r="E80" s="8" t="s">
        <v>1666</v>
      </c>
      <c r="F80" s="8" t="s">
        <v>1667</v>
      </c>
      <c r="G80" s="8">
        <v>116040</v>
      </c>
      <c r="H80" s="8">
        <v>2</v>
      </c>
      <c r="I80" s="8" t="s">
        <v>1668</v>
      </c>
      <c r="J80" s="8" t="s">
        <v>1669</v>
      </c>
      <c r="K80" s="8">
        <v>127589</v>
      </c>
      <c r="L80" s="8">
        <v>2</v>
      </c>
      <c r="M80" s="8">
        <v>11549</v>
      </c>
      <c r="N80" s="8" t="s">
        <v>1670</v>
      </c>
      <c r="O80" s="8" t="s">
        <v>1671</v>
      </c>
      <c r="P80" s="8">
        <v>140906</v>
      </c>
      <c r="Q80" s="8">
        <v>2</v>
      </c>
      <c r="R80" s="8">
        <v>24866</v>
      </c>
      <c r="S80" s="8">
        <v>0.46400000000000002</v>
      </c>
      <c r="T80" s="8">
        <v>0.28100000000000003</v>
      </c>
      <c r="U80" s="8">
        <v>12</v>
      </c>
      <c r="V80" s="8">
        <v>1</v>
      </c>
      <c r="W80" s="8">
        <v>42</v>
      </c>
      <c r="X80" s="8">
        <v>30</v>
      </c>
      <c r="Y80" s="8">
        <v>0</v>
      </c>
      <c r="Z80" s="8">
        <v>32.233333333333327</v>
      </c>
      <c r="AA80" s="8">
        <v>35.441388888888888</v>
      </c>
      <c r="AB80" s="8" t="s">
        <v>47</v>
      </c>
      <c r="AC80" s="8">
        <v>32</v>
      </c>
      <c r="AD80" s="8">
        <v>29640</v>
      </c>
      <c r="AE80" s="8">
        <v>41189</v>
      </c>
      <c r="AF80" s="8">
        <v>42</v>
      </c>
      <c r="AG80" s="8">
        <v>1</v>
      </c>
      <c r="AH80" s="8">
        <v>0.28100000000000003</v>
      </c>
      <c r="AI80" s="8">
        <v>1</v>
      </c>
      <c r="AJ80" s="8">
        <v>8</v>
      </c>
      <c r="AK80" s="8">
        <v>13</v>
      </c>
      <c r="AL80" s="8">
        <v>5</v>
      </c>
    </row>
    <row r="81" spans="1:38" x14ac:dyDescent="0.35">
      <c r="A81" s="8" t="s">
        <v>1672</v>
      </c>
      <c r="B81" s="8">
        <v>314443.36419999972</v>
      </c>
      <c r="C81" s="8">
        <v>6396975.0443999991</v>
      </c>
      <c r="D81" s="8">
        <v>4766827</v>
      </c>
      <c r="E81" s="8" t="s">
        <v>1673</v>
      </c>
      <c r="F81" s="8" t="s">
        <v>1674</v>
      </c>
      <c r="G81" s="8">
        <v>117329</v>
      </c>
      <c r="H81" s="8">
        <v>2</v>
      </c>
      <c r="I81" s="8" t="s">
        <v>1675</v>
      </c>
      <c r="J81" s="8" t="s">
        <v>1676</v>
      </c>
      <c r="K81" s="8">
        <v>128889</v>
      </c>
      <c r="L81" s="8">
        <v>2</v>
      </c>
      <c r="M81" s="8">
        <v>11560</v>
      </c>
      <c r="N81" s="8" t="s">
        <v>1677</v>
      </c>
      <c r="O81" s="8" t="s">
        <v>1678</v>
      </c>
      <c r="P81" s="8">
        <v>145741</v>
      </c>
      <c r="Q81" s="8">
        <v>2</v>
      </c>
      <c r="R81" s="8">
        <v>28412</v>
      </c>
      <c r="S81" s="8">
        <v>0.40699999999999997</v>
      </c>
      <c r="T81" s="8">
        <v>0.28000000000000003</v>
      </c>
      <c r="U81" s="8">
        <v>12</v>
      </c>
      <c r="V81" s="8">
        <v>1</v>
      </c>
      <c r="W81" s="8">
        <v>42</v>
      </c>
      <c r="X81" s="8">
        <v>30</v>
      </c>
      <c r="Y81" s="8">
        <v>0</v>
      </c>
      <c r="Z81" s="8">
        <v>32.591388888888893</v>
      </c>
      <c r="AA81" s="8">
        <v>35.802499999999988</v>
      </c>
      <c r="AB81" s="8" t="s">
        <v>47</v>
      </c>
      <c r="AC81" s="8">
        <v>32</v>
      </c>
      <c r="AD81" s="8">
        <v>30929</v>
      </c>
      <c r="AE81" s="8">
        <v>42489</v>
      </c>
      <c r="AF81" s="8">
        <v>42</v>
      </c>
      <c r="AG81" s="8">
        <v>1</v>
      </c>
      <c r="AH81" s="8">
        <v>0.28000000000000003</v>
      </c>
      <c r="AI81" s="8">
        <v>1</v>
      </c>
      <c r="AJ81" s="8">
        <v>9</v>
      </c>
      <c r="AK81" s="8">
        <v>14</v>
      </c>
      <c r="AL81" s="8">
        <v>5</v>
      </c>
    </row>
    <row r="82" spans="1:38" x14ac:dyDescent="0.35">
      <c r="A82" s="8" t="s">
        <v>1679</v>
      </c>
      <c r="B82" s="8">
        <v>311041.52890000032</v>
      </c>
      <c r="C82" s="8">
        <v>6400935.5103999991</v>
      </c>
      <c r="D82" s="8">
        <v>7399955</v>
      </c>
      <c r="E82" s="8" t="s">
        <v>1680</v>
      </c>
      <c r="F82" s="8" t="s">
        <v>1681</v>
      </c>
      <c r="G82" s="8">
        <v>117885</v>
      </c>
      <c r="H82" s="8">
        <v>2</v>
      </c>
      <c r="I82" s="8" t="s">
        <v>1682</v>
      </c>
      <c r="J82" s="8" t="s">
        <v>1683</v>
      </c>
      <c r="K82" s="8">
        <v>129524</v>
      </c>
      <c r="L82" s="8">
        <v>2</v>
      </c>
      <c r="M82" s="8">
        <v>11639</v>
      </c>
      <c r="N82" s="8" t="s">
        <v>1684</v>
      </c>
      <c r="O82" s="8" t="s">
        <v>1685</v>
      </c>
      <c r="P82" s="8">
        <v>146096</v>
      </c>
      <c r="Q82" s="8">
        <v>2</v>
      </c>
      <c r="R82" s="8">
        <v>28211</v>
      </c>
      <c r="S82" s="8">
        <v>0.41299999999999998</v>
      </c>
      <c r="T82" s="8">
        <v>0.435</v>
      </c>
      <c r="U82" s="8">
        <v>23</v>
      </c>
      <c r="V82" s="8">
        <v>1</v>
      </c>
      <c r="W82" s="8">
        <v>52</v>
      </c>
      <c r="X82" s="8">
        <v>29</v>
      </c>
      <c r="Y82" s="8">
        <v>0</v>
      </c>
      <c r="Z82" s="8">
        <v>32.745833333333337</v>
      </c>
      <c r="AA82" s="8">
        <v>35.978888888888889</v>
      </c>
      <c r="AB82" s="8" t="s">
        <v>47</v>
      </c>
      <c r="AC82" s="8">
        <v>32</v>
      </c>
      <c r="AD82" s="8">
        <v>31485</v>
      </c>
      <c r="AE82" s="8">
        <v>43124</v>
      </c>
      <c r="AF82" s="8">
        <v>52</v>
      </c>
      <c r="AG82" s="8">
        <v>1</v>
      </c>
      <c r="AH82" s="8">
        <v>0.435</v>
      </c>
      <c r="AI82" s="8">
        <v>1</v>
      </c>
      <c r="AJ82" s="8">
        <v>9</v>
      </c>
      <c r="AK82" s="8">
        <v>14</v>
      </c>
      <c r="AL82" s="8">
        <v>5</v>
      </c>
    </row>
    <row r="83" spans="1:38" x14ac:dyDescent="0.35">
      <c r="A83" s="8" t="s">
        <v>1686</v>
      </c>
      <c r="B83" s="8">
        <v>308191.8069000002</v>
      </c>
      <c r="C83" s="8">
        <v>6393123.0791999996</v>
      </c>
      <c r="D83" s="8">
        <v>4920544</v>
      </c>
      <c r="E83" s="8" t="s">
        <v>1687</v>
      </c>
      <c r="F83" s="8" t="s">
        <v>1688</v>
      </c>
      <c r="G83" s="8">
        <v>163468</v>
      </c>
      <c r="H83" s="8">
        <v>2</v>
      </c>
      <c r="I83" s="8" t="s">
        <v>1689</v>
      </c>
      <c r="J83" s="8" t="s">
        <v>87</v>
      </c>
      <c r="K83" s="8">
        <v>175114</v>
      </c>
      <c r="L83" s="8">
        <v>3</v>
      </c>
      <c r="M83" s="8">
        <v>11646</v>
      </c>
      <c r="N83" s="8" t="s">
        <v>1690</v>
      </c>
      <c r="O83" s="8" t="s">
        <v>1691</v>
      </c>
      <c r="P83" s="8">
        <v>219058</v>
      </c>
      <c r="Q83" s="8">
        <v>3</v>
      </c>
      <c r="R83" s="8">
        <v>55590</v>
      </c>
      <c r="S83" s="8">
        <v>0.20899999999999999</v>
      </c>
      <c r="T83" s="8">
        <v>7.0999999999999994E-2</v>
      </c>
      <c r="U83" s="8">
        <v>4</v>
      </c>
      <c r="V83" s="8">
        <v>1</v>
      </c>
      <c r="W83" s="8">
        <v>60</v>
      </c>
      <c r="X83" s="8">
        <v>56</v>
      </c>
      <c r="Y83" s="8">
        <v>139.989</v>
      </c>
      <c r="Z83" s="8">
        <v>45.407777777777767</v>
      </c>
      <c r="AA83" s="8">
        <v>48.642777777777781</v>
      </c>
      <c r="AB83" s="8" t="s">
        <v>90</v>
      </c>
      <c r="AC83" s="8">
        <v>45</v>
      </c>
      <c r="AD83" s="8">
        <v>77068</v>
      </c>
      <c r="AE83" s="8">
        <v>86214</v>
      </c>
      <c r="AF83" s="8">
        <v>60</v>
      </c>
      <c r="AG83" s="8">
        <v>1</v>
      </c>
      <c r="AH83" s="8">
        <v>7.0999999999999994E-2</v>
      </c>
      <c r="AI83" s="8">
        <v>1</v>
      </c>
      <c r="AJ83" s="8">
        <v>20</v>
      </c>
      <c r="AK83" s="8">
        <v>24</v>
      </c>
      <c r="AL83" s="8">
        <v>4</v>
      </c>
    </row>
    <row r="84" spans="1:38" x14ac:dyDescent="0.35">
      <c r="A84" s="8" t="s">
        <v>1692</v>
      </c>
      <c r="B84" s="8">
        <v>314390.7993999999</v>
      </c>
      <c r="C84" s="8">
        <v>6396930.1204000004</v>
      </c>
      <c r="D84" s="8">
        <v>1944216</v>
      </c>
      <c r="E84" s="8" t="s">
        <v>1693</v>
      </c>
      <c r="F84" s="8" t="s">
        <v>1694</v>
      </c>
      <c r="G84" s="8">
        <v>118144</v>
      </c>
      <c r="H84" s="8">
        <v>2</v>
      </c>
      <c r="I84" s="8" t="s">
        <v>1695</v>
      </c>
      <c r="J84" s="8" t="s">
        <v>1696</v>
      </c>
      <c r="K84" s="8">
        <v>129889</v>
      </c>
      <c r="L84" s="8">
        <v>2</v>
      </c>
      <c r="M84" s="8">
        <v>11745</v>
      </c>
      <c r="N84" s="8" t="s">
        <v>1697</v>
      </c>
      <c r="O84" s="8" t="s">
        <v>1698</v>
      </c>
      <c r="P84" s="8">
        <v>157308</v>
      </c>
      <c r="Q84" s="8">
        <v>2</v>
      </c>
      <c r="R84" s="8">
        <v>39164</v>
      </c>
      <c r="S84" s="8">
        <v>0.3</v>
      </c>
      <c r="T84" s="8">
        <v>0.42799999999999999</v>
      </c>
      <c r="U84" s="8">
        <v>22</v>
      </c>
      <c r="V84" s="8">
        <v>1</v>
      </c>
      <c r="W84" s="8">
        <v>52</v>
      </c>
      <c r="X84" s="8">
        <v>30</v>
      </c>
      <c r="Y84" s="8">
        <v>0</v>
      </c>
      <c r="Z84" s="8">
        <v>32.817777777777778</v>
      </c>
      <c r="AA84" s="8">
        <v>36.080277777777781</v>
      </c>
      <c r="AB84" s="8" t="s">
        <v>47</v>
      </c>
      <c r="AC84" s="8">
        <v>32</v>
      </c>
      <c r="AD84" s="8">
        <v>31744</v>
      </c>
      <c r="AE84" s="8">
        <v>43489</v>
      </c>
      <c r="AF84" s="8">
        <v>52</v>
      </c>
      <c r="AG84" s="8">
        <v>1</v>
      </c>
      <c r="AH84" s="8">
        <v>0.42799999999999999</v>
      </c>
      <c r="AI84" s="8">
        <v>1</v>
      </c>
      <c r="AJ84" s="8">
        <v>9</v>
      </c>
      <c r="AK84" s="8">
        <v>14</v>
      </c>
      <c r="AL84" s="8">
        <v>5</v>
      </c>
    </row>
    <row r="85" spans="1:38" x14ac:dyDescent="0.35">
      <c r="A85" s="8" t="s">
        <v>1699</v>
      </c>
      <c r="B85" s="8">
        <v>316443.86649999948</v>
      </c>
      <c r="C85" s="8">
        <v>6401362.6105000004</v>
      </c>
      <c r="D85" s="8">
        <v>1993035</v>
      </c>
      <c r="E85" s="8" t="s">
        <v>1700</v>
      </c>
      <c r="F85" s="8" t="s">
        <v>1701</v>
      </c>
      <c r="G85" s="8">
        <v>120415</v>
      </c>
      <c r="H85" s="8">
        <v>2</v>
      </c>
      <c r="I85" s="8" t="s">
        <v>1702</v>
      </c>
      <c r="J85" s="8" t="s">
        <v>1703</v>
      </c>
      <c r="K85" s="8">
        <v>132238</v>
      </c>
      <c r="L85" s="8">
        <v>2</v>
      </c>
      <c r="M85" s="8">
        <v>11823</v>
      </c>
      <c r="N85" s="8" t="s">
        <v>1702</v>
      </c>
      <c r="O85" s="8" t="s">
        <v>1703</v>
      </c>
      <c r="P85" s="8">
        <v>132238</v>
      </c>
      <c r="Q85" s="8">
        <v>2</v>
      </c>
      <c r="R85" s="8">
        <v>11823</v>
      </c>
      <c r="S85" s="8">
        <v>1</v>
      </c>
      <c r="T85" s="8">
        <v>0.438</v>
      </c>
      <c r="U85" s="8">
        <v>33</v>
      </c>
      <c r="V85" s="8">
        <v>0.92</v>
      </c>
      <c r="W85" s="8">
        <v>69</v>
      </c>
      <c r="X85" s="8">
        <v>36</v>
      </c>
      <c r="Y85" s="8">
        <v>0</v>
      </c>
      <c r="Z85" s="8">
        <v>33.448611111111113</v>
      </c>
      <c r="AA85" s="8">
        <v>36.732777777777777</v>
      </c>
      <c r="AB85" s="8" t="s">
        <v>47</v>
      </c>
      <c r="AC85" s="8">
        <v>33</v>
      </c>
      <c r="AD85" s="8">
        <v>34015</v>
      </c>
      <c r="AE85" s="8">
        <v>45838</v>
      </c>
      <c r="AF85" s="8">
        <v>75</v>
      </c>
      <c r="AG85" s="8">
        <v>0.92</v>
      </c>
      <c r="AH85" s="8">
        <v>0.438</v>
      </c>
      <c r="AI85" s="8">
        <v>1</v>
      </c>
      <c r="AJ85" s="8">
        <v>9</v>
      </c>
      <c r="AK85" s="8">
        <v>15</v>
      </c>
      <c r="AL85" s="8">
        <v>6</v>
      </c>
    </row>
    <row r="86" spans="1:38" x14ac:dyDescent="0.35">
      <c r="A86" s="8" t="s">
        <v>1704</v>
      </c>
      <c r="B86" s="8">
        <v>314432.66650000028</v>
      </c>
      <c r="C86" s="8">
        <v>6400815.2084999997</v>
      </c>
      <c r="D86" s="8">
        <v>9541771</v>
      </c>
      <c r="E86" s="8" t="s">
        <v>1705</v>
      </c>
      <c r="F86" s="8" t="s">
        <v>1706</v>
      </c>
      <c r="G86" s="8">
        <v>106331</v>
      </c>
      <c r="H86" s="8">
        <v>2</v>
      </c>
      <c r="I86" s="8" t="s">
        <v>1707</v>
      </c>
      <c r="J86" s="8" t="s">
        <v>1708</v>
      </c>
      <c r="K86" s="8">
        <v>118204</v>
      </c>
      <c r="L86" s="8">
        <v>2</v>
      </c>
      <c r="M86" s="8">
        <v>11873</v>
      </c>
      <c r="N86" s="8" t="s">
        <v>1709</v>
      </c>
      <c r="O86" s="8" t="s">
        <v>1710</v>
      </c>
      <c r="P86" s="8">
        <v>136690</v>
      </c>
      <c r="Q86" s="8">
        <v>2</v>
      </c>
      <c r="R86" s="8">
        <v>30359</v>
      </c>
      <c r="S86" s="8">
        <v>0.39100000000000001</v>
      </c>
      <c r="T86" s="8">
        <v>0.56799999999999995</v>
      </c>
      <c r="U86" s="8">
        <v>43</v>
      </c>
      <c r="V86" s="8">
        <v>1</v>
      </c>
      <c r="W86" s="8">
        <v>75</v>
      </c>
      <c r="X86" s="8">
        <v>32</v>
      </c>
      <c r="Y86" s="8">
        <v>0</v>
      </c>
      <c r="Z86" s="8">
        <v>29.53638888888889</v>
      </c>
      <c r="AA86" s="8">
        <v>32.834444444444443</v>
      </c>
      <c r="AB86" s="8" t="s">
        <v>47</v>
      </c>
      <c r="AC86" s="8">
        <v>29</v>
      </c>
      <c r="AD86" s="8">
        <v>19931</v>
      </c>
      <c r="AE86" s="8">
        <v>31804</v>
      </c>
      <c r="AF86" s="8">
        <v>75</v>
      </c>
      <c r="AG86" s="8">
        <v>1</v>
      </c>
      <c r="AH86" s="8">
        <v>0.56799999999999995</v>
      </c>
      <c r="AI86" s="8">
        <v>1</v>
      </c>
      <c r="AJ86" s="8">
        <v>6</v>
      </c>
      <c r="AK86" s="8">
        <v>11</v>
      </c>
      <c r="AL86" s="8">
        <v>5</v>
      </c>
    </row>
    <row r="87" spans="1:38" x14ac:dyDescent="0.35">
      <c r="A87" s="8" t="s">
        <v>1711</v>
      </c>
      <c r="B87" s="8">
        <v>312478.63590000011</v>
      </c>
      <c r="C87" s="8">
        <v>6399157.9888000004</v>
      </c>
      <c r="D87" s="8">
        <v>7371678</v>
      </c>
      <c r="E87" s="8" t="s">
        <v>1712</v>
      </c>
      <c r="F87" s="8" t="s">
        <v>1713</v>
      </c>
      <c r="G87" s="8">
        <v>117572</v>
      </c>
      <c r="H87" s="8">
        <v>2</v>
      </c>
      <c r="I87" s="8" t="s">
        <v>1714</v>
      </c>
      <c r="J87" s="8" t="s">
        <v>1715</v>
      </c>
      <c r="K87" s="8">
        <v>129484</v>
      </c>
      <c r="L87" s="8">
        <v>2</v>
      </c>
      <c r="M87" s="8">
        <v>11912</v>
      </c>
      <c r="N87" s="8" t="s">
        <v>1716</v>
      </c>
      <c r="O87" s="8" t="s">
        <v>1717</v>
      </c>
      <c r="P87" s="8">
        <v>136845</v>
      </c>
      <c r="Q87" s="8">
        <v>2</v>
      </c>
      <c r="R87" s="8">
        <v>19273</v>
      </c>
      <c r="S87" s="8">
        <v>0.61799999999999999</v>
      </c>
      <c r="T87" s="8">
        <v>0.254</v>
      </c>
      <c r="U87" s="8">
        <v>11</v>
      </c>
      <c r="V87" s="8">
        <v>1</v>
      </c>
      <c r="W87" s="8">
        <v>42</v>
      </c>
      <c r="X87" s="8">
        <v>31</v>
      </c>
      <c r="Y87" s="8">
        <v>0</v>
      </c>
      <c r="Z87" s="8">
        <v>32.658888888888889</v>
      </c>
      <c r="AA87" s="8">
        <v>35.967777777777783</v>
      </c>
      <c r="AB87" s="8" t="s">
        <v>47</v>
      </c>
      <c r="AC87" s="8">
        <v>32</v>
      </c>
      <c r="AD87" s="8">
        <v>31172</v>
      </c>
      <c r="AE87" s="8">
        <v>43084</v>
      </c>
      <c r="AF87" s="8">
        <v>42</v>
      </c>
      <c r="AG87" s="8">
        <v>1</v>
      </c>
      <c r="AH87" s="8">
        <v>0.254</v>
      </c>
      <c r="AI87" s="8">
        <v>1</v>
      </c>
      <c r="AJ87" s="8">
        <v>9</v>
      </c>
      <c r="AK87" s="8">
        <v>14</v>
      </c>
      <c r="AL87" s="8">
        <v>5</v>
      </c>
    </row>
    <row r="88" spans="1:38" x14ac:dyDescent="0.35">
      <c r="A88" s="8" t="s">
        <v>1718</v>
      </c>
      <c r="B88" s="8">
        <v>313087.2379999999</v>
      </c>
      <c r="C88" s="8">
        <v>6392877.3023000006</v>
      </c>
      <c r="D88" s="8">
        <v>4704918</v>
      </c>
      <c r="E88" s="8" t="s">
        <v>1719</v>
      </c>
      <c r="F88" s="8" t="s">
        <v>1720</v>
      </c>
      <c r="G88" s="8">
        <v>115159</v>
      </c>
      <c r="H88" s="8">
        <v>2</v>
      </c>
      <c r="I88" s="8" t="s">
        <v>1721</v>
      </c>
      <c r="J88" s="8" t="s">
        <v>1722</v>
      </c>
      <c r="K88" s="8">
        <v>127129</v>
      </c>
      <c r="L88" s="8">
        <v>2</v>
      </c>
      <c r="M88" s="8">
        <v>11970</v>
      </c>
      <c r="N88" s="8" t="s">
        <v>1723</v>
      </c>
      <c r="O88" s="8" t="s">
        <v>1724</v>
      </c>
      <c r="P88" s="8">
        <v>145945</v>
      </c>
      <c r="Q88" s="8">
        <v>2</v>
      </c>
      <c r="R88" s="8">
        <v>30786</v>
      </c>
      <c r="S88" s="8">
        <v>0.38900000000000001</v>
      </c>
      <c r="T88" s="8">
        <v>0.41499999999999998</v>
      </c>
      <c r="U88" s="8">
        <v>22</v>
      </c>
      <c r="V88" s="8">
        <v>1</v>
      </c>
      <c r="W88" s="8">
        <v>52</v>
      </c>
      <c r="X88" s="8">
        <v>30</v>
      </c>
      <c r="Y88" s="8">
        <v>0</v>
      </c>
      <c r="Z88" s="8">
        <v>31.988611111111108</v>
      </c>
      <c r="AA88" s="8">
        <v>35.313611111111108</v>
      </c>
      <c r="AB88" s="8" t="s">
        <v>47</v>
      </c>
      <c r="AC88" s="8">
        <v>31</v>
      </c>
      <c r="AD88" s="8">
        <v>28759</v>
      </c>
      <c r="AE88" s="8">
        <v>40729</v>
      </c>
      <c r="AF88" s="8">
        <v>52</v>
      </c>
      <c r="AG88" s="8">
        <v>1</v>
      </c>
      <c r="AH88" s="8">
        <v>0.41499999999999998</v>
      </c>
      <c r="AI88" s="8">
        <v>1</v>
      </c>
      <c r="AJ88" s="8">
        <v>8</v>
      </c>
      <c r="AK88" s="8">
        <v>13</v>
      </c>
      <c r="AL88" s="8">
        <v>5</v>
      </c>
    </row>
    <row r="89" spans="1:38" x14ac:dyDescent="0.35">
      <c r="A89" s="8" t="s">
        <v>1725</v>
      </c>
      <c r="B89" s="8">
        <v>312423.73749999981</v>
      </c>
      <c r="C89" s="8">
        <v>6402487.8419000003</v>
      </c>
      <c r="D89" s="8">
        <v>2328024</v>
      </c>
      <c r="E89" s="8" t="s">
        <v>1726</v>
      </c>
      <c r="F89" s="8" t="s">
        <v>1727</v>
      </c>
      <c r="G89" s="8">
        <v>135840</v>
      </c>
      <c r="H89" s="8">
        <v>2</v>
      </c>
      <c r="I89" s="8" t="s">
        <v>1728</v>
      </c>
      <c r="J89" s="8" t="s">
        <v>1729</v>
      </c>
      <c r="K89" s="8">
        <v>147944</v>
      </c>
      <c r="L89" s="8">
        <v>2</v>
      </c>
      <c r="M89" s="8">
        <v>12104</v>
      </c>
      <c r="N89" s="8" t="s">
        <v>1730</v>
      </c>
      <c r="O89" s="8" t="s">
        <v>1731</v>
      </c>
      <c r="P89" s="8">
        <v>148164</v>
      </c>
      <c r="Q89" s="8">
        <v>2</v>
      </c>
      <c r="R89" s="8">
        <v>12324</v>
      </c>
      <c r="S89" s="8">
        <v>0.98199999999999998</v>
      </c>
      <c r="T89" s="8">
        <v>7.4999999999999997E-2</v>
      </c>
      <c r="U89" s="8">
        <v>3</v>
      </c>
      <c r="V89" s="8">
        <v>1</v>
      </c>
      <c r="W89" s="8">
        <v>34</v>
      </c>
      <c r="X89" s="8">
        <v>31</v>
      </c>
      <c r="Y89" s="8">
        <v>0</v>
      </c>
      <c r="Z89" s="8">
        <v>37.733333333333327</v>
      </c>
      <c r="AA89" s="8">
        <v>41.095555555555563</v>
      </c>
      <c r="AB89" s="8" t="s">
        <v>47</v>
      </c>
      <c r="AC89" s="8">
        <v>37</v>
      </c>
      <c r="AD89" s="8">
        <v>49440</v>
      </c>
      <c r="AE89" s="8">
        <v>61544</v>
      </c>
      <c r="AF89" s="8">
        <v>34</v>
      </c>
      <c r="AG89" s="8">
        <v>1</v>
      </c>
      <c r="AH89" s="8">
        <v>7.4999999999999997E-2</v>
      </c>
      <c r="AI89" s="8">
        <v>1</v>
      </c>
      <c r="AJ89" s="8">
        <v>14</v>
      </c>
      <c r="AK89" s="8">
        <v>19</v>
      </c>
      <c r="AL89" s="8">
        <v>5</v>
      </c>
    </row>
    <row r="90" spans="1:38" x14ac:dyDescent="0.35">
      <c r="A90" s="8" t="s">
        <v>1732</v>
      </c>
      <c r="B90" s="8">
        <v>313394.4693</v>
      </c>
      <c r="C90" s="8">
        <v>6403096.8026000001</v>
      </c>
      <c r="D90" s="8">
        <v>2322166</v>
      </c>
      <c r="E90" s="8" t="s">
        <v>1733</v>
      </c>
      <c r="F90" s="8" t="s">
        <v>1734</v>
      </c>
      <c r="G90" s="8">
        <v>114742</v>
      </c>
      <c r="H90" s="8">
        <v>2</v>
      </c>
      <c r="I90" s="8" t="s">
        <v>1735</v>
      </c>
      <c r="J90" s="8" t="s">
        <v>1736</v>
      </c>
      <c r="K90" s="8">
        <v>126914</v>
      </c>
      <c r="L90" s="8">
        <v>2</v>
      </c>
      <c r="M90" s="8">
        <v>12172</v>
      </c>
      <c r="N90" s="8" t="s">
        <v>1737</v>
      </c>
      <c r="O90" s="8" t="s">
        <v>1738</v>
      </c>
      <c r="P90" s="8">
        <v>147044</v>
      </c>
      <c r="Q90" s="8">
        <v>2</v>
      </c>
      <c r="R90" s="8">
        <v>32302</v>
      </c>
      <c r="S90" s="8">
        <v>0.377</v>
      </c>
      <c r="T90" s="8">
        <v>0.23499999999999999</v>
      </c>
      <c r="U90" s="8">
        <v>10</v>
      </c>
      <c r="V90" s="8">
        <v>1</v>
      </c>
      <c r="W90" s="8">
        <v>42</v>
      </c>
      <c r="X90" s="8">
        <v>32</v>
      </c>
      <c r="Y90" s="8">
        <v>0</v>
      </c>
      <c r="Z90" s="8">
        <v>31.872777777777781</v>
      </c>
      <c r="AA90" s="8">
        <v>35.253888888888888</v>
      </c>
      <c r="AB90" s="8" t="s">
        <v>47</v>
      </c>
      <c r="AC90" s="8">
        <v>31</v>
      </c>
      <c r="AD90" s="8">
        <v>28342</v>
      </c>
      <c r="AE90" s="8">
        <v>40514</v>
      </c>
      <c r="AF90" s="8">
        <v>42</v>
      </c>
      <c r="AG90" s="8">
        <v>1</v>
      </c>
      <c r="AH90" s="8">
        <v>0.23499999999999999</v>
      </c>
      <c r="AI90" s="8">
        <v>1</v>
      </c>
      <c r="AJ90" s="8">
        <v>8</v>
      </c>
      <c r="AK90" s="8">
        <v>13</v>
      </c>
      <c r="AL90" s="8">
        <v>5</v>
      </c>
    </row>
    <row r="91" spans="1:38" x14ac:dyDescent="0.35">
      <c r="A91" s="8" t="s">
        <v>1739</v>
      </c>
      <c r="B91" s="8">
        <v>312858.01580000023</v>
      </c>
      <c r="C91" s="8">
        <v>6409537.6721000001</v>
      </c>
      <c r="D91" s="8">
        <v>2330455</v>
      </c>
      <c r="E91" s="8" t="s">
        <v>1740</v>
      </c>
      <c r="F91" s="8" t="s">
        <v>1741</v>
      </c>
      <c r="G91" s="8">
        <v>116455</v>
      </c>
      <c r="H91" s="8">
        <v>2</v>
      </c>
      <c r="I91" s="8" t="s">
        <v>1742</v>
      </c>
      <c r="J91" s="8" t="s">
        <v>1743</v>
      </c>
      <c r="K91" s="8">
        <v>128630</v>
      </c>
      <c r="L91" s="8">
        <v>2</v>
      </c>
      <c r="M91" s="8">
        <v>12175</v>
      </c>
      <c r="N91" s="8" t="s">
        <v>1742</v>
      </c>
      <c r="O91" s="8" t="s">
        <v>1743</v>
      </c>
      <c r="P91" s="8">
        <v>128630</v>
      </c>
      <c r="Q91" s="8">
        <v>2</v>
      </c>
      <c r="R91" s="8">
        <v>12175</v>
      </c>
      <c r="S91" s="8">
        <v>1</v>
      </c>
      <c r="T91" s="8">
        <v>4.5999999999999999E-2</v>
      </c>
      <c r="U91" s="8">
        <v>2</v>
      </c>
      <c r="V91" s="8">
        <v>0.93200000000000005</v>
      </c>
      <c r="W91" s="8">
        <v>39</v>
      </c>
      <c r="X91" s="8">
        <v>37</v>
      </c>
      <c r="Y91" s="8">
        <v>0</v>
      </c>
      <c r="Z91" s="8">
        <v>32.348611111111111</v>
      </c>
      <c r="AA91" s="8">
        <v>35.730555555555547</v>
      </c>
      <c r="AB91" s="8" t="s">
        <v>47</v>
      </c>
      <c r="AC91" s="8">
        <v>32</v>
      </c>
      <c r="AD91" s="8">
        <v>30055</v>
      </c>
      <c r="AE91" s="8">
        <v>42230</v>
      </c>
      <c r="AF91" s="8">
        <v>41.845493562231759</v>
      </c>
      <c r="AG91" s="8">
        <v>0.93200000000000005</v>
      </c>
      <c r="AH91" s="8">
        <v>4.5999999999999999E-2</v>
      </c>
      <c r="AI91" s="8">
        <v>1</v>
      </c>
      <c r="AJ91" s="8">
        <v>8</v>
      </c>
      <c r="AK91" s="8">
        <v>14</v>
      </c>
      <c r="AL91" s="8">
        <v>6</v>
      </c>
    </row>
    <row r="92" spans="1:38" x14ac:dyDescent="0.35">
      <c r="A92" s="8" t="s">
        <v>1744</v>
      </c>
      <c r="B92" s="8">
        <v>314580.47149999999</v>
      </c>
      <c r="C92" s="8">
        <v>6394205.0051999995</v>
      </c>
      <c r="D92" s="8">
        <v>4795659</v>
      </c>
      <c r="E92" s="8" t="s">
        <v>1745</v>
      </c>
      <c r="F92" s="8" t="s">
        <v>1746</v>
      </c>
      <c r="G92" s="8">
        <v>115401</v>
      </c>
      <c r="H92" s="8">
        <v>2</v>
      </c>
      <c r="I92" s="8" t="s">
        <v>1747</v>
      </c>
      <c r="J92" s="8" t="s">
        <v>1748</v>
      </c>
      <c r="K92" s="8">
        <v>127599</v>
      </c>
      <c r="L92" s="8">
        <v>2</v>
      </c>
      <c r="M92" s="8">
        <v>12198</v>
      </c>
      <c r="N92" s="8" t="s">
        <v>1749</v>
      </c>
      <c r="O92" s="8" t="s">
        <v>1750</v>
      </c>
      <c r="P92" s="8">
        <v>145846</v>
      </c>
      <c r="Q92" s="8">
        <v>2</v>
      </c>
      <c r="R92" s="8">
        <v>30445</v>
      </c>
      <c r="S92" s="8">
        <v>0.40100000000000002</v>
      </c>
      <c r="T92" s="8">
        <v>0.55400000000000005</v>
      </c>
      <c r="U92" s="8">
        <v>42</v>
      </c>
      <c r="V92" s="8">
        <v>1</v>
      </c>
      <c r="W92" s="8">
        <v>75</v>
      </c>
      <c r="X92" s="8">
        <v>33</v>
      </c>
      <c r="Y92" s="8">
        <v>0</v>
      </c>
      <c r="Z92" s="8">
        <v>32.055833333333332</v>
      </c>
      <c r="AA92" s="8">
        <v>35.444166666666661</v>
      </c>
      <c r="AB92" s="8" t="s">
        <v>47</v>
      </c>
      <c r="AC92" s="8">
        <v>32</v>
      </c>
      <c r="AD92" s="8">
        <v>29001</v>
      </c>
      <c r="AE92" s="8">
        <v>41199</v>
      </c>
      <c r="AF92" s="8">
        <v>75</v>
      </c>
      <c r="AG92" s="8">
        <v>1</v>
      </c>
      <c r="AH92" s="8">
        <v>0.55400000000000005</v>
      </c>
      <c r="AI92" s="8">
        <v>1</v>
      </c>
      <c r="AJ92" s="8">
        <v>8</v>
      </c>
      <c r="AK92" s="8">
        <v>13</v>
      </c>
      <c r="AL92" s="8">
        <v>5</v>
      </c>
    </row>
    <row r="93" spans="1:38" x14ac:dyDescent="0.35">
      <c r="A93" s="8" t="s">
        <v>1751</v>
      </c>
      <c r="B93" s="8">
        <v>315918.43790000031</v>
      </c>
      <c r="C93" s="8">
        <v>6399749.1017000005</v>
      </c>
      <c r="D93" s="8">
        <v>4640224</v>
      </c>
      <c r="E93" s="8" t="s">
        <v>1752</v>
      </c>
      <c r="F93" s="8" t="s">
        <v>1753</v>
      </c>
      <c r="G93" s="8">
        <v>134133</v>
      </c>
      <c r="H93" s="8">
        <v>2</v>
      </c>
      <c r="I93" s="8" t="s">
        <v>1754</v>
      </c>
      <c r="J93" s="8" t="s">
        <v>1755</v>
      </c>
      <c r="K93" s="8">
        <v>146409</v>
      </c>
      <c r="L93" s="8">
        <v>2</v>
      </c>
      <c r="M93" s="8">
        <v>12276</v>
      </c>
      <c r="N93" s="8" t="s">
        <v>1756</v>
      </c>
      <c r="O93" s="8" t="s">
        <v>1757</v>
      </c>
      <c r="P93" s="8">
        <v>151516</v>
      </c>
      <c r="Q93" s="8">
        <v>2</v>
      </c>
      <c r="R93" s="8">
        <v>17383</v>
      </c>
      <c r="S93" s="8">
        <v>0.70599999999999996</v>
      </c>
      <c r="T93" s="8">
        <v>0.47099999999999997</v>
      </c>
      <c r="U93" s="8">
        <v>28</v>
      </c>
      <c r="V93" s="8">
        <v>1</v>
      </c>
      <c r="W93" s="8">
        <v>60</v>
      </c>
      <c r="X93" s="8">
        <v>32</v>
      </c>
      <c r="Y93" s="8">
        <v>0</v>
      </c>
      <c r="Z93" s="8">
        <v>37.259166666666673</v>
      </c>
      <c r="AA93" s="8">
        <v>40.669166666666662</v>
      </c>
      <c r="AB93" s="8" t="s">
        <v>47</v>
      </c>
      <c r="AC93" s="8">
        <v>37</v>
      </c>
      <c r="AD93" s="8">
        <v>47733</v>
      </c>
      <c r="AE93" s="8">
        <v>60009</v>
      </c>
      <c r="AF93" s="8">
        <v>60</v>
      </c>
      <c r="AG93" s="8">
        <v>1</v>
      </c>
      <c r="AH93" s="8">
        <v>0.47099999999999997</v>
      </c>
      <c r="AI93" s="8">
        <v>1</v>
      </c>
      <c r="AJ93" s="8">
        <v>13</v>
      </c>
      <c r="AK93" s="8">
        <v>19</v>
      </c>
      <c r="AL93" s="8">
        <v>6</v>
      </c>
    </row>
    <row r="94" spans="1:38" x14ac:dyDescent="0.35">
      <c r="A94" s="8" t="s">
        <v>1758</v>
      </c>
      <c r="B94" s="8">
        <v>312967.60410000011</v>
      </c>
      <c r="C94" s="8">
        <v>6403808.4316000007</v>
      </c>
      <c r="D94" s="8">
        <v>2324032</v>
      </c>
      <c r="E94" s="8" t="s">
        <v>1759</v>
      </c>
      <c r="F94" s="8" t="s">
        <v>1760</v>
      </c>
      <c r="G94" s="8">
        <v>113184</v>
      </c>
      <c r="H94" s="8">
        <v>2</v>
      </c>
      <c r="I94" s="8" t="s">
        <v>1761</v>
      </c>
      <c r="J94" s="8" t="s">
        <v>1762</v>
      </c>
      <c r="K94" s="8">
        <v>125624</v>
      </c>
      <c r="L94" s="8">
        <v>2</v>
      </c>
      <c r="M94" s="8">
        <v>12440</v>
      </c>
      <c r="N94" s="8" t="s">
        <v>1763</v>
      </c>
      <c r="O94" s="8" t="s">
        <v>1764</v>
      </c>
      <c r="P94" s="8">
        <v>144175</v>
      </c>
      <c r="Q94" s="8">
        <v>2</v>
      </c>
      <c r="R94" s="8">
        <v>30991</v>
      </c>
      <c r="S94" s="8">
        <v>0.40100000000000002</v>
      </c>
      <c r="T94" s="8">
        <v>4.3999999999999997E-2</v>
      </c>
      <c r="U94" s="8">
        <v>1</v>
      </c>
      <c r="V94" s="8">
        <v>1</v>
      </c>
      <c r="W94" s="8">
        <v>34</v>
      </c>
      <c r="X94" s="8">
        <v>33</v>
      </c>
      <c r="Y94" s="8">
        <v>0</v>
      </c>
      <c r="Z94" s="8">
        <v>31.44</v>
      </c>
      <c r="AA94" s="8">
        <v>34.895555555555553</v>
      </c>
      <c r="AB94" s="8" t="s">
        <v>47</v>
      </c>
      <c r="AC94" s="8">
        <v>31</v>
      </c>
      <c r="AD94" s="8">
        <v>26784</v>
      </c>
      <c r="AE94" s="8">
        <v>39224</v>
      </c>
      <c r="AF94" s="8">
        <v>34</v>
      </c>
      <c r="AG94" s="8">
        <v>1</v>
      </c>
      <c r="AH94" s="8">
        <v>4.3999999999999997E-2</v>
      </c>
      <c r="AI94" s="8">
        <v>1</v>
      </c>
      <c r="AJ94" s="8">
        <v>7</v>
      </c>
      <c r="AK94" s="8">
        <v>13</v>
      </c>
      <c r="AL94" s="8">
        <v>6</v>
      </c>
    </row>
    <row r="95" spans="1:38" x14ac:dyDescent="0.35">
      <c r="A95" s="8" t="s">
        <v>1765</v>
      </c>
      <c r="B95" s="8">
        <v>317587.95660000009</v>
      </c>
      <c r="C95" s="8">
        <v>6394956.2028999999</v>
      </c>
      <c r="D95" s="8">
        <v>2316310</v>
      </c>
      <c r="E95" s="8" t="s">
        <v>1766</v>
      </c>
      <c r="F95" s="8" t="s">
        <v>1767</v>
      </c>
      <c r="G95" s="8">
        <v>119885</v>
      </c>
      <c r="H95" s="8">
        <v>2</v>
      </c>
      <c r="I95" s="8" t="s">
        <v>1768</v>
      </c>
      <c r="J95" s="8" t="s">
        <v>1769</v>
      </c>
      <c r="K95" s="8">
        <v>132399</v>
      </c>
      <c r="L95" s="8">
        <v>2</v>
      </c>
      <c r="M95" s="8">
        <v>12514</v>
      </c>
      <c r="N95" s="8" t="s">
        <v>1770</v>
      </c>
      <c r="O95" s="8" t="s">
        <v>1771</v>
      </c>
      <c r="P95" s="8">
        <v>147723</v>
      </c>
      <c r="Q95" s="8">
        <v>2</v>
      </c>
      <c r="R95" s="8">
        <v>27838</v>
      </c>
      <c r="S95" s="8">
        <v>0.45</v>
      </c>
      <c r="T95" s="8">
        <v>0.45900000000000002</v>
      </c>
      <c r="U95" s="8">
        <v>28</v>
      </c>
      <c r="V95" s="8">
        <v>1</v>
      </c>
      <c r="W95" s="8">
        <v>60</v>
      </c>
      <c r="X95" s="8">
        <v>32</v>
      </c>
      <c r="Y95" s="8">
        <v>0</v>
      </c>
      <c r="Z95" s="8">
        <v>33.301388888888887</v>
      </c>
      <c r="AA95" s="8">
        <v>36.777500000000003</v>
      </c>
      <c r="AB95" s="8" t="s">
        <v>47</v>
      </c>
      <c r="AC95" s="8">
        <v>33</v>
      </c>
      <c r="AD95" s="8">
        <v>33485</v>
      </c>
      <c r="AE95" s="8">
        <v>45999</v>
      </c>
      <c r="AF95" s="8">
        <v>60</v>
      </c>
      <c r="AG95" s="8">
        <v>1</v>
      </c>
      <c r="AH95" s="8">
        <v>0.45900000000000002</v>
      </c>
      <c r="AI95" s="8">
        <v>1</v>
      </c>
      <c r="AJ95" s="8">
        <v>9</v>
      </c>
      <c r="AK95" s="8">
        <v>15</v>
      </c>
      <c r="AL95" s="8">
        <v>6</v>
      </c>
    </row>
    <row r="96" spans="1:38" x14ac:dyDescent="0.35">
      <c r="A96" s="8" t="s">
        <v>1772</v>
      </c>
      <c r="B96" s="8">
        <v>312457.51229999959</v>
      </c>
      <c r="C96" s="8">
        <v>6396955.6578000002</v>
      </c>
      <c r="D96" s="8">
        <v>4588293</v>
      </c>
      <c r="E96" s="8" t="s">
        <v>1773</v>
      </c>
      <c r="F96" s="8" t="s">
        <v>1774</v>
      </c>
      <c r="G96" s="8">
        <v>121476</v>
      </c>
      <c r="H96" s="8">
        <v>2</v>
      </c>
      <c r="I96" s="8" t="s">
        <v>1775</v>
      </c>
      <c r="J96" s="8" t="s">
        <v>1776</v>
      </c>
      <c r="K96" s="8">
        <v>134049</v>
      </c>
      <c r="L96" s="8">
        <v>2</v>
      </c>
      <c r="M96" s="8">
        <v>12573</v>
      </c>
      <c r="N96" s="8" t="s">
        <v>1777</v>
      </c>
      <c r="O96" s="8" t="s">
        <v>1778</v>
      </c>
      <c r="P96" s="8">
        <v>149503</v>
      </c>
      <c r="Q96" s="8">
        <v>2</v>
      </c>
      <c r="R96" s="8">
        <v>28027</v>
      </c>
      <c r="S96" s="8">
        <v>0.44900000000000001</v>
      </c>
      <c r="T96" s="8">
        <v>0.45600000000000002</v>
      </c>
      <c r="U96" s="8">
        <v>27</v>
      </c>
      <c r="V96" s="8">
        <v>1</v>
      </c>
      <c r="W96" s="8">
        <v>60</v>
      </c>
      <c r="X96" s="8">
        <v>33</v>
      </c>
      <c r="Y96" s="8">
        <v>0</v>
      </c>
      <c r="Z96" s="8">
        <v>33.743333333333332</v>
      </c>
      <c r="AA96" s="8">
        <v>37.235833333333332</v>
      </c>
      <c r="AB96" s="8" t="s">
        <v>47</v>
      </c>
      <c r="AC96" s="8">
        <v>33</v>
      </c>
      <c r="AD96" s="8">
        <v>35076</v>
      </c>
      <c r="AE96" s="8">
        <v>47649</v>
      </c>
      <c r="AF96" s="8">
        <v>60</v>
      </c>
      <c r="AG96" s="8">
        <v>1</v>
      </c>
      <c r="AH96" s="8">
        <v>0.45600000000000002</v>
      </c>
      <c r="AI96" s="8">
        <v>1</v>
      </c>
      <c r="AJ96" s="8">
        <v>10</v>
      </c>
      <c r="AK96" s="8">
        <v>15</v>
      </c>
      <c r="AL96" s="8">
        <v>5</v>
      </c>
    </row>
    <row r="97" spans="1:38" x14ac:dyDescent="0.35">
      <c r="A97" s="8" t="s">
        <v>1779</v>
      </c>
      <c r="B97" s="8">
        <v>313069.70249999972</v>
      </c>
      <c r="C97" s="8">
        <v>6402810.1044999994</v>
      </c>
      <c r="D97" s="8">
        <v>3257156</v>
      </c>
      <c r="E97" s="8" t="s">
        <v>1780</v>
      </c>
      <c r="F97" s="8" t="s">
        <v>1781</v>
      </c>
      <c r="G97" s="8">
        <v>110241</v>
      </c>
      <c r="H97" s="8">
        <v>2</v>
      </c>
      <c r="I97" s="8" t="s">
        <v>210</v>
      </c>
      <c r="J97" s="8" t="s">
        <v>211</v>
      </c>
      <c r="K97" s="8">
        <v>122824</v>
      </c>
      <c r="L97" s="8">
        <v>2</v>
      </c>
      <c r="M97" s="8">
        <v>12583</v>
      </c>
      <c r="N97" s="8" t="s">
        <v>1782</v>
      </c>
      <c r="O97" s="8" t="s">
        <v>1783</v>
      </c>
      <c r="P97" s="8">
        <v>142858</v>
      </c>
      <c r="Q97" s="8">
        <v>2</v>
      </c>
      <c r="R97" s="8">
        <v>32617</v>
      </c>
      <c r="S97" s="8">
        <v>0.38600000000000001</v>
      </c>
      <c r="T97" s="8">
        <v>0.20499999999999999</v>
      </c>
      <c r="U97" s="8">
        <v>9</v>
      </c>
      <c r="V97" s="8">
        <v>1</v>
      </c>
      <c r="W97" s="8">
        <v>42</v>
      </c>
      <c r="X97" s="8">
        <v>33</v>
      </c>
      <c r="Y97" s="8">
        <v>0</v>
      </c>
      <c r="Z97" s="8">
        <v>30.622499999999999</v>
      </c>
      <c r="AA97" s="8">
        <v>34.117777777777768</v>
      </c>
      <c r="AB97" s="8" t="s">
        <v>47</v>
      </c>
      <c r="AC97" s="8">
        <v>30</v>
      </c>
      <c r="AD97" s="8">
        <v>23841</v>
      </c>
      <c r="AE97" s="8">
        <v>36424</v>
      </c>
      <c r="AF97" s="8">
        <v>42</v>
      </c>
      <c r="AG97" s="8">
        <v>1</v>
      </c>
      <c r="AH97" s="8">
        <v>0.20499999999999999</v>
      </c>
      <c r="AI97" s="8">
        <v>1</v>
      </c>
      <c r="AJ97" s="8">
        <v>7</v>
      </c>
      <c r="AK97" s="8">
        <v>12</v>
      </c>
      <c r="AL97" s="8">
        <v>5</v>
      </c>
    </row>
    <row r="98" spans="1:38" x14ac:dyDescent="0.35">
      <c r="A98" s="8" t="s">
        <v>1784</v>
      </c>
      <c r="B98" s="8">
        <v>312423.73749999981</v>
      </c>
      <c r="C98" s="8">
        <v>6402487.8419000003</v>
      </c>
      <c r="D98" s="8">
        <v>10003537</v>
      </c>
      <c r="E98" s="8" t="s">
        <v>1785</v>
      </c>
      <c r="F98" s="8" t="s">
        <v>1786</v>
      </c>
      <c r="G98" s="8">
        <v>137152</v>
      </c>
      <c r="H98" s="8">
        <v>2</v>
      </c>
      <c r="I98" s="8" t="s">
        <v>1787</v>
      </c>
      <c r="J98" s="8" t="s">
        <v>1788</v>
      </c>
      <c r="K98" s="8">
        <v>149844</v>
      </c>
      <c r="L98" s="8">
        <v>2</v>
      </c>
      <c r="M98" s="8">
        <v>12692</v>
      </c>
      <c r="N98" s="8" t="s">
        <v>789</v>
      </c>
      <c r="O98" s="8" t="s">
        <v>790</v>
      </c>
      <c r="P98" s="8">
        <v>151609</v>
      </c>
      <c r="Q98" s="8">
        <v>2</v>
      </c>
      <c r="R98" s="8">
        <v>14457</v>
      </c>
      <c r="S98" s="8">
        <v>0.878</v>
      </c>
      <c r="T98" s="8">
        <v>0.19700000000000001</v>
      </c>
      <c r="U98" s="8">
        <v>8</v>
      </c>
      <c r="V98" s="8">
        <v>1</v>
      </c>
      <c r="W98" s="8">
        <v>42</v>
      </c>
      <c r="X98" s="8">
        <v>34</v>
      </c>
      <c r="Y98" s="8">
        <v>0</v>
      </c>
      <c r="Z98" s="8">
        <v>38.097777777777779</v>
      </c>
      <c r="AA98" s="8">
        <v>41.623333333333328</v>
      </c>
      <c r="AB98" s="8" t="s">
        <v>47</v>
      </c>
      <c r="AC98" s="8">
        <v>38</v>
      </c>
      <c r="AD98" s="8">
        <v>50752</v>
      </c>
      <c r="AE98" s="8">
        <v>63444</v>
      </c>
      <c r="AF98" s="8">
        <v>42</v>
      </c>
      <c r="AG98" s="8">
        <v>1</v>
      </c>
      <c r="AH98" s="8">
        <v>0.19700000000000001</v>
      </c>
      <c r="AI98" s="8">
        <v>1</v>
      </c>
      <c r="AJ98" s="8">
        <v>14</v>
      </c>
      <c r="AK98" s="8">
        <v>20</v>
      </c>
      <c r="AL98" s="8">
        <v>6</v>
      </c>
    </row>
    <row r="99" spans="1:38" x14ac:dyDescent="0.35">
      <c r="A99" s="8" t="s">
        <v>1789</v>
      </c>
      <c r="B99" s="8">
        <v>317620.07500000019</v>
      </c>
      <c r="C99" s="8">
        <v>6395570.2847000007</v>
      </c>
      <c r="D99" s="8">
        <v>2038684</v>
      </c>
      <c r="E99" s="8" t="s">
        <v>1790</v>
      </c>
      <c r="F99" s="8" t="s">
        <v>1791</v>
      </c>
      <c r="G99" s="8">
        <v>116285</v>
      </c>
      <c r="H99" s="8">
        <v>2</v>
      </c>
      <c r="I99" s="8" t="s">
        <v>1621</v>
      </c>
      <c r="J99" s="8" t="s">
        <v>1622</v>
      </c>
      <c r="K99" s="8">
        <v>128999</v>
      </c>
      <c r="L99" s="8">
        <v>2</v>
      </c>
      <c r="M99" s="8">
        <v>12714</v>
      </c>
      <c r="N99" s="8" t="s">
        <v>1792</v>
      </c>
      <c r="O99" s="8" t="s">
        <v>1793</v>
      </c>
      <c r="P99" s="8">
        <v>139879</v>
      </c>
      <c r="Q99" s="8">
        <v>2</v>
      </c>
      <c r="R99" s="8">
        <v>23594</v>
      </c>
      <c r="S99" s="8">
        <v>0.53900000000000003</v>
      </c>
      <c r="T99" s="8">
        <v>0.19600000000000001</v>
      </c>
      <c r="U99" s="8">
        <v>8</v>
      </c>
      <c r="V99" s="8">
        <v>1</v>
      </c>
      <c r="W99" s="8">
        <v>42</v>
      </c>
      <c r="X99" s="8">
        <v>34</v>
      </c>
      <c r="Y99" s="8">
        <v>0</v>
      </c>
      <c r="Z99" s="8">
        <v>32.301388888888887</v>
      </c>
      <c r="AA99" s="8">
        <v>35.833055555555561</v>
      </c>
      <c r="AB99" s="8" t="s">
        <v>47</v>
      </c>
      <c r="AC99" s="8">
        <v>32</v>
      </c>
      <c r="AD99" s="8">
        <v>29885</v>
      </c>
      <c r="AE99" s="8">
        <v>42599</v>
      </c>
      <c r="AF99" s="8">
        <v>42</v>
      </c>
      <c r="AG99" s="8">
        <v>1</v>
      </c>
      <c r="AH99" s="8">
        <v>0.19600000000000001</v>
      </c>
      <c r="AI99" s="8">
        <v>1</v>
      </c>
      <c r="AJ99" s="8">
        <v>8</v>
      </c>
      <c r="AK99" s="8">
        <v>14</v>
      </c>
      <c r="AL99" s="8">
        <v>6</v>
      </c>
    </row>
    <row r="100" spans="1:38" x14ac:dyDescent="0.35">
      <c r="A100" s="8" t="s">
        <v>1794</v>
      </c>
      <c r="B100" s="8">
        <v>309219.08800000051</v>
      </c>
      <c r="C100" s="8">
        <v>6404451.1722999997</v>
      </c>
      <c r="D100" s="8">
        <v>1862673</v>
      </c>
      <c r="E100" s="8" t="s">
        <v>1795</v>
      </c>
      <c r="F100" s="8" t="s">
        <v>1796</v>
      </c>
      <c r="G100" s="8">
        <v>119411</v>
      </c>
      <c r="H100" s="8">
        <v>2</v>
      </c>
      <c r="I100" s="8" t="s">
        <v>1797</v>
      </c>
      <c r="J100" s="8" t="s">
        <v>1798</v>
      </c>
      <c r="K100" s="8">
        <v>132144</v>
      </c>
      <c r="L100" s="8">
        <v>2</v>
      </c>
      <c r="M100" s="8">
        <v>12733</v>
      </c>
      <c r="N100" s="8" t="s">
        <v>1799</v>
      </c>
      <c r="O100" s="8" t="s">
        <v>1800</v>
      </c>
      <c r="P100" s="8">
        <v>147331</v>
      </c>
      <c r="Q100" s="8">
        <v>2</v>
      </c>
      <c r="R100" s="8">
        <v>27920</v>
      </c>
      <c r="S100" s="8">
        <v>0.45600000000000002</v>
      </c>
      <c r="T100" s="8">
        <v>1.7999999999999999E-2</v>
      </c>
      <c r="U100" s="8">
        <v>1</v>
      </c>
      <c r="V100" s="8">
        <v>1</v>
      </c>
      <c r="W100" s="8">
        <v>34</v>
      </c>
      <c r="X100" s="8">
        <v>33</v>
      </c>
      <c r="Y100" s="8">
        <v>0</v>
      </c>
      <c r="Z100" s="8">
        <v>33.169722222222219</v>
      </c>
      <c r="AA100" s="8">
        <v>36.706666666666671</v>
      </c>
      <c r="AB100" s="8" t="s">
        <v>47</v>
      </c>
      <c r="AC100" s="8">
        <v>33</v>
      </c>
      <c r="AD100" s="8">
        <v>33011</v>
      </c>
      <c r="AE100" s="8">
        <v>45744</v>
      </c>
      <c r="AF100" s="8">
        <v>34</v>
      </c>
      <c r="AG100" s="8">
        <v>1</v>
      </c>
      <c r="AH100" s="8">
        <v>1.7999999999999999E-2</v>
      </c>
      <c r="AI100" s="8">
        <v>1</v>
      </c>
      <c r="AJ100" s="8">
        <v>9</v>
      </c>
      <c r="AK100" s="8">
        <v>15</v>
      </c>
      <c r="AL100" s="8">
        <v>6</v>
      </c>
    </row>
    <row r="101" spans="1:38" x14ac:dyDescent="0.35">
      <c r="A101" s="8" t="s">
        <v>1801</v>
      </c>
      <c r="B101" s="8">
        <v>316778.20839999989</v>
      </c>
      <c r="C101" s="8">
        <v>6401353.2796999998</v>
      </c>
      <c r="D101" s="8">
        <v>2126618</v>
      </c>
      <c r="E101" s="8" t="s">
        <v>1802</v>
      </c>
      <c r="F101" s="8" t="s">
        <v>1803</v>
      </c>
      <c r="G101" s="8">
        <v>115908</v>
      </c>
      <c r="H101" s="8">
        <v>2</v>
      </c>
      <c r="I101" s="8" t="s">
        <v>1804</v>
      </c>
      <c r="J101" s="8" t="s">
        <v>1805</v>
      </c>
      <c r="K101" s="8">
        <v>128664</v>
      </c>
      <c r="L101" s="8">
        <v>2</v>
      </c>
      <c r="M101" s="8">
        <v>12756</v>
      </c>
      <c r="N101" s="8" t="s">
        <v>1806</v>
      </c>
      <c r="O101" s="8" t="s">
        <v>1807</v>
      </c>
      <c r="P101" s="8">
        <v>152399</v>
      </c>
      <c r="Q101" s="8">
        <v>2</v>
      </c>
      <c r="R101" s="8">
        <v>36491</v>
      </c>
      <c r="S101" s="8">
        <v>0.35</v>
      </c>
      <c r="T101" s="8">
        <v>0.193</v>
      </c>
      <c r="U101" s="8">
        <v>8</v>
      </c>
      <c r="V101" s="8">
        <v>1</v>
      </c>
      <c r="W101" s="8">
        <v>42</v>
      </c>
      <c r="X101" s="8">
        <v>34</v>
      </c>
      <c r="Y101" s="8">
        <v>0</v>
      </c>
      <c r="Z101" s="8">
        <v>32.196666666666673</v>
      </c>
      <c r="AA101" s="8">
        <v>35.74</v>
      </c>
      <c r="AB101" s="8" t="s">
        <v>47</v>
      </c>
      <c r="AC101" s="8">
        <v>32</v>
      </c>
      <c r="AD101" s="8">
        <v>29508</v>
      </c>
      <c r="AE101" s="8">
        <v>42264</v>
      </c>
      <c r="AF101" s="8">
        <v>42</v>
      </c>
      <c r="AG101" s="8">
        <v>1</v>
      </c>
      <c r="AH101" s="8">
        <v>0.193</v>
      </c>
      <c r="AI101" s="8">
        <v>1</v>
      </c>
      <c r="AJ101" s="8">
        <v>8</v>
      </c>
      <c r="AK101" s="8">
        <v>14</v>
      </c>
      <c r="AL101" s="8">
        <v>6</v>
      </c>
    </row>
    <row r="102" spans="1:38" x14ac:dyDescent="0.35">
      <c r="A102" s="8" t="s">
        <v>1808</v>
      </c>
      <c r="B102" s="8">
        <v>309148.86270000041</v>
      </c>
      <c r="C102" s="8">
        <v>6402014.0829000007</v>
      </c>
      <c r="D102" s="8">
        <v>1880643</v>
      </c>
      <c r="E102" s="8" t="s">
        <v>1809</v>
      </c>
      <c r="F102" s="8" t="s">
        <v>1810</v>
      </c>
      <c r="G102" s="8">
        <v>123499</v>
      </c>
      <c r="H102" s="8">
        <v>2</v>
      </c>
      <c r="I102" s="8" t="s">
        <v>1811</v>
      </c>
      <c r="J102" s="8" t="s">
        <v>1812</v>
      </c>
      <c r="K102" s="8">
        <v>136409</v>
      </c>
      <c r="L102" s="8">
        <v>2</v>
      </c>
      <c r="M102" s="8">
        <v>12910</v>
      </c>
      <c r="N102" s="8" t="s">
        <v>1813</v>
      </c>
      <c r="O102" s="8" t="s">
        <v>1814</v>
      </c>
      <c r="P102" s="8">
        <v>153997</v>
      </c>
      <c r="Q102" s="8">
        <v>2</v>
      </c>
      <c r="R102" s="8">
        <v>30498</v>
      </c>
      <c r="S102" s="8">
        <v>0.42299999999999999</v>
      </c>
      <c r="T102" s="8">
        <v>0.18099999999999999</v>
      </c>
      <c r="U102" s="8">
        <v>8</v>
      </c>
      <c r="V102" s="8">
        <v>1</v>
      </c>
      <c r="W102" s="8">
        <v>42</v>
      </c>
      <c r="X102" s="8">
        <v>34</v>
      </c>
      <c r="Y102" s="8">
        <v>0</v>
      </c>
      <c r="Z102" s="8">
        <v>34.305277777777768</v>
      </c>
      <c r="AA102" s="8">
        <v>37.891388888888891</v>
      </c>
      <c r="AB102" s="8" t="s">
        <v>47</v>
      </c>
      <c r="AC102" s="8">
        <v>34</v>
      </c>
      <c r="AD102" s="8">
        <v>37099</v>
      </c>
      <c r="AE102" s="8">
        <v>50009</v>
      </c>
      <c r="AF102" s="8">
        <v>42</v>
      </c>
      <c r="AG102" s="8">
        <v>1</v>
      </c>
      <c r="AH102" s="8">
        <v>0.18099999999999999</v>
      </c>
      <c r="AI102" s="8">
        <v>1</v>
      </c>
      <c r="AJ102" s="8">
        <v>10</v>
      </c>
      <c r="AK102" s="8">
        <v>16</v>
      </c>
      <c r="AL102" s="8">
        <v>6</v>
      </c>
    </row>
    <row r="103" spans="1:38" x14ac:dyDescent="0.35">
      <c r="A103" s="8" t="s">
        <v>1815</v>
      </c>
      <c r="B103" s="8">
        <v>315481.89979999978</v>
      </c>
      <c r="C103" s="8">
        <v>6401398.7839000002</v>
      </c>
      <c r="D103" s="8">
        <v>10096676</v>
      </c>
      <c r="E103" s="8" t="s">
        <v>1816</v>
      </c>
      <c r="F103" s="8" t="s">
        <v>1817</v>
      </c>
      <c r="G103" s="8">
        <v>125303</v>
      </c>
      <c r="H103" s="8">
        <v>2</v>
      </c>
      <c r="I103" s="8" t="s">
        <v>1818</v>
      </c>
      <c r="J103" s="8" t="s">
        <v>1819</v>
      </c>
      <c r="K103" s="8">
        <v>138234</v>
      </c>
      <c r="L103" s="8">
        <v>2</v>
      </c>
      <c r="M103" s="8">
        <v>12931</v>
      </c>
      <c r="N103" s="8" t="s">
        <v>1820</v>
      </c>
      <c r="O103" s="8" t="s">
        <v>1821</v>
      </c>
      <c r="P103" s="8">
        <v>142316</v>
      </c>
      <c r="Q103" s="8">
        <v>2</v>
      </c>
      <c r="R103" s="8">
        <v>17013</v>
      </c>
      <c r="S103" s="8">
        <v>0.76</v>
      </c>
      <c r="T103" s="8">
        <v>0</v>
      </c>
      <c r="U103" s="8">
        <v>0</v>
      </c>
      <c r="V103" s="8">
        <v>1</v>
      </c>
      <c r="W103" s="8">
        <v>34</v>
      </c>
      <c r="X103" s="8">
        <v>34</v>
      </c>
      <c r="Y103" s="8">
        <v>0</v>
      </c>
      <c r="Z103" s="8">
        <v>34.806388888888883</v>
      </c>
      <c r="AA103" s="8">
        <v>38.398333333333333</v>
      </c>
      <c r="AB103" s="8" t="s">
        <v>47</v>
      </c>
      <c r="AC103" s="8">
        <v>34</v>
      </c>
      <c r="AD103" s="8">
        <v>38903</v>
      </c>
      <c r="AE103" s="8">
        <v>51834</v>
      </c>
      <c r="AF103" s="8">
        <v>34</v>
      </c>
      <c r="AG103" s="8">
        <v>1</v>
      </c>
      <c r="AH103" s="8">
        <v>0</v>
      </c>
      <c r="AI103" s="8">
        <v>1</v>
      </c>
      <c r="AJ103" s="8">
        <v>11</v>
      </c>
      <c r="AK103" s="8">
        <v>16</v>
      </c>
      <c r="AL103" s="8">
        <v>5</v>
      </c>
    </row>
    <row r="104" spans="1:38" x14ac:dyDescent="0.35">
      <c r="A104" s="8" t="s">
        <v>1822</v>
      </c>
      <c r="B104" s="8">
        <v>307859.89190000022</v>
      </c>
      <c r="C104" s="8">
        <v>6400931.4803999998</v>
      </c>
      <c r="D104" s="8">
        <v>2318575</v>
      </c>
      <c r="E104" s="8" t="s">
        <v>1823</v>
      </c>
      <c r="F104" s="8" t="s">
        <v>1824</v>
      </c>
      <c r="G104" s="8">
        <v>112830</v>
      </c>
      <c r="H104" s="8">
        <v>2</v>
      </c>
      <c r="I104" s="8" t="s">
        <v>1825</v>
      </c>
      <c r="J104" s="8" t="s">
        <v>1826</v>
      </c>
      <c r="K104" s="8">
        <v>125785</v>
      </c>
      <c r="L104" s="8">
        <v>2</v>
      </c>
      <c r="M104" s="8">
        <v>12955</v>
      </c>
      <c r="N104" s="8" t="s">
        <v>1825</v>
      </c>
      <c r="O104" s="8" t="s">
        <v>1826</v>
      </c>
      <c r="P104" s="8">
        <v>125785</v>
      </c>
      <c r="Q104" s="8">
        <v>2</v>
      </c>
      <c r="R104" s="8">
        <v>12955</v>
      </c>
      <c r="S104" s="8">
        <v>1</v>
      </c>
      <c r="T104" s="8">
        <v>0.30099999999999999</v>
      </c>
      <c r="U104" s="8">
        <v>23</v>
      </c>
      <c r="V104" s="8">
        <v>0.82899999999999996</v>
      </c>
      <c r="W104" s="8">
        <v>62</v>
      </c>
      <c r="X104" s="8">
        <v>40</v>
      </c>
      <c r="Y104" s="8">
        <v>0</v>
      </c>
      <c r="Z104" s="8">
        <v>31.341666666666669</v>
      </c>
      <c r="AA104" s="8">
        <v>34.940277777777773</v>
      </c>
      <c r="AB104" s="8" t="s">
        <v>47</v>
      </c>
      <c r="AC104" s="8">
        <v>31</v>
      </c>
      <c r="AD104" s="8">
        <v>26430</v>
      </c>
      <c r="AE104" s="8">
        <v>39385</v>
      </c>
      <c r="AF104" s="8">
        <v>74.788902291917978</v>
      </c>
      <c r="AG104" s="8">
        <v>0.82899999999999996</v>
      </c>
      <c r="AH104" s="8">
        <v>0.30099999999999999</v>
      </c>
      <c r="AI104" s="8">
        <v>1</v>
      </c>
      <c r="AJ104" s="8">
        <v>7</v>
      </c>
      <c r="AK104" s="8">
        <v>13</v>
      </c>
      <c r="AL104" s="8">
        <v>6</v>
      </c>
    </row>
    <row r="105" spans="1:38" x14ac:dyDescent="0.35">
      <c r="A105" s="8" t="s">
        <v>1827</v>
      </c>
      <c r="B105" s="8">
        <v>317367.22449999949</v>
      </c>
      <c r="C105" s="8">
        <v>6395010.0985000003</v>
      </c>
      <c r="D105" s="8">
        <v>2037252</v>
      </c>
      <c r="E105" s="8" t="s">
        <v>1828</v>
      </c>
      <c r="F105" s="8" t="s">
        <v>1829</v>
      </c>
      <c r="G105" s="8">
        <v>114373</v>
      </c>
      <c r="H105" s="8">
        <v>2</v>
      </c>
      <c r="I105" s="8" t="s">
        <v>1830</v>
      </c>
      <c r="J105" s="8" t="s">
        <v>1831</v>
      </c>
      <c r="K105" s="8">
        <v>127664</v>
      </c>
      <c r="L105" s="8">
        <v>2</v>
      </c>
      <c r="M105" s="8">
        <v>13291</v>
      </c>
      <c r="N105" s="8" t="s">
        <v>1832</v>
      </c>
      <c r="O105" s="8" t="s">
        <v>1833</v>
      </c>
      <c r="P105" s="8">
        <v>139966</v>
      </c>
      <c r="Q105" s="8">
        <v>2</v>
      </c>
      <c r="R105" s="8">
        <v>25593</v>
      </c>
      <c r="S105" s="8">
        <v>0.51900000000000002</v>
      </c>
      <c r="T105" s="8">
        <v>0.154</v>
      </c>
      <c r="U105" s="8">
        <v>6</v>
      </c>
      <c r="V105" s="8">
        <v>1</v>
      </c>
      <c r="W105" s="8">
        <v>42</v>
      </c>
      <c r="X105" s="8">
        <v>36</v>
      </c>
      <c r="Y105" s="8">
        <v>0</v>
      </c>
      <c r="Z105" s="8">
        <v>31.770277777777778</v>
      </c>
      <c r="AA105" s="8">
        <v>35.462222222222223</v>
      </c>
      <c r="AB105" s="8" t="s">
        <v>47</v>
      </c>
      <c r="AC105" s="8">
        <v>31</v>
      </c>
      <c r="AD105" s="8">
        <v>27973</v>
      </c>
      <c r="AE105" s="8">
        <v>41264</v>
      </c>
      <c r="AF105" s="8">
        <v>42</v>
      </c>
      <c r="AG105" s="8">
        <v>1</v>
      </c>
      <c r="AH105" s="8">
        <v>0.154</v>
      </c>
      <c r="AI105" s="8">
        <v>1</v>
      </c>
      <c r="AJ105" s="8">
        <v>8</v>
      </c>
      <c r="AK105" s="8">
        <v>13</v>
      </c>
      <c r="AL105" s="8">
        <v>5</v>
      </c>
    </row>
    <row r="106" spans="1:38" x14ac:dyDescent="0.35">
      <c r="A106" s="8" t="s">
        <v>1834</v>
      </c>
      <c r="B106" s="8">
        <v>316292.35200000001</v>
      </c>
      <c r="C106" s="8">
        <v>6398803.6554000014</v>
      </c>
      <c r="D106" s="8">
        <v>4924180</v>
      </c>
      <c r="E106" s="8" t="s">
        <v>1835</v>
      </c>
      <c r="F106" s="8" t="s">
        <v>1836</v>
      </c>
      <c r="G106" s="8">
        <v>125072</v>
      </c>
      <c r="H106" s="8">
        <v>2</v>
      </c>
      <c r="I106" s="8" t="s">
        <v>1837</v>
      </c>
      <c r="J106" s="8" t="s">
        <v>1838</v>
      </c>
      <c r="K106" s="8">
        <v>138564</v>
      </c>
      <c r="L106" s="8">
        <v>2</v>
      </c>
      <c r="M106" s="8">
        <v>13492</v>
      </c>
      <c r="N106" s="8" t="s">
        <v>1839</v>
      </c>
      <c r="O106" s="8" t="s">
        <v>1840</v>
      </c>
      <c r="P106" s="8">
        <v>151317</v>
      </c>
      <c r="Q106" s="8">
        <v>2</v>
      </c>
      <c r="R106" s="8">
        <v>26245</v>
      </c>
      <c r="S106" s="8">
        <v>0.51400000000000001</v>
      </c>
      <c r="T106" s="8">
        <v>0.13900000000000001</v>
      </c>
      <c r="U106" s="8">
        <v>6</v>
      </c>
      <c r="V106" s="8">
        <v>1</v>
      </c>
      <c r="W106" s="8">
        <v>42</v>
      </c>
      <c r="X106" s="8">
        <v>36</v>
      </c>
      <c r="Y106" s="8">
        <v>0</v>
      </c>
      <c r="Z106" s="8">
        <v>34.742222222222217</v>
      </c>
      <c r="AA106" s="8">
        <v>38.49</v>
      </c>
      <c r="AB106" s="8" t="s">
        <v>47</v>
      </c>
      <c r="AC106" s="8">
        <v>34</v>
      </c>
      <c r="AD106" s="8">
        <v>38672</v>
      </c>
      <c r="AE106" s="8">
        <v>52164</v>
      </c>
      <c r="AF106" s="8">
        <v>42</v>
      </c>
      <c r="AG106" s="8">
        <v>1</v>
      </c>
      <c r="AH106" s="8">
        <v>0.13900000000000001</v>
      </c>
      <c r="AI106" s="8">
        <v>1</v>
      </c>
      <c r="AJ106" s="8">
        <v>11</v>
      </c>
      <c r="AK106" s="8">
        <v>16</v>
      </c>
      <c r="AL106" s="8">
        <v>5</v>
      </c>
    </row>
    <row r="107" spans="1:38" x14ac:dyDescent="0.35">
      <c r="A107" s="8" t="s">
        <v>1841</v>
      </c>
      <c r="B107" s="8">
        <v>312895.71470000042</v>
      </c>
      <c r="C107" s="8">
        <v>6409774.0712000001</v>
      </c>
      <c r="D107" s="8">
        <v>2328292</v>
      </c>
      <c r="E107" s="8" t="s">
        <v>1842</v>
      </c>
      <c r="F107" s="8" t="s">
        <v>1843</v>
      </c>
      <c r="G107" s="8">
        <v>134162</v>
      </c>
      <c r="H107" s="8">
        <v>2</v>
      </c>
      <c r="I107" s="8" t="s">
        <v>1844</v>
      </c>
      <c r="J107" s="8" t="s">
        <v>1845</v>
      </c>
      <c r="K107" s="8">
        <v>147899</v>
      </c>
      <c r="L107" s="8">
        <v>2</v>
      </c>
      <c r="M107" s="8">
        <v>13737</v>
      </c>
      <c r="N107" s="8" t="s">
        <v>1846</v>
      </c>
      <c r="O107" s="8" t="s">
        <v>1847</v>
      </c>
      <c r="P107" s="8">
        <v>149403</v>
      </c>
      <c r="Q107" s="8">
        <v>2</v>
      </c>
      <c r="R107" s="8">
        <v>15241</v>
      </c>
      <c r="S107" s="8">
        <v>0.90100000000000002</v>
      </c>
      <c r="T107" s="8">
        <v>0.39700000000000002</v>
      </c>
      <c r="U107" s="8">
        <v>24</v>
      </c>
      <c r="V107" s="8">
        <v>1</v>
      </c>
      <c r="W107" s="8">
        <v>60</v>
      </c>
      <c r="X107" s="8">
        <v>36</v>
      </c>
      <c r="Y107" s="8">
        <v>0</v>
      </c>
      <c r="Z107" s="8">
        <v>37.267222222222223</v>
      </c>
      <c r="AA107" s="8">
        <v>41.083055555555561</v>
      </c>
      <c r="AB107" s="8" t="s">
        <v>47</v>
      </c>
      <c r="AC107" s="8">
        <v>37</v>
      </c>
      <c r="AD107" s="8">
        <v>47762</v>
      </c>
      <c r="AE107" s="8">
        <v>61499</v>
      </c>
      <c r="AF107" s="8">
        <v>60</v>
      </c>
      <c r="AG107" s="8">
        <v>1</v>
      </c>
      <c r="AH107" s="8">
        <v>0.39700000000000002</v>
      </c>
      <c r="AI107" s="8">
        <v>1</v>
      </c>
      <c r="AJ107" s="8">
        <v>13</v>
      </c>
      <c r="AK107" s="8">
        <v>19</v>
      </c>
      <c r="AL107" s="8">
        <v>6</v>
      </c>
    </row>
    <row r="108" spans="1:38" x14ac:dyDescent="0.35">
      <c r="A108" s="8" t="s">
        <v>280</v>
      </c>
      <c r="B108" s="8">
        <v>317449.05960000033</v>
      </c>
      <c r="C108" s="8">
        <v>6399971.6237000003</v>
      </c>
      <c r="D108" s="8">
        <v>4737640</v>
      </c>
      <c r="E108" s="8" t="s">
        <v>281</v>
      </c>
      <c r="F108" s="8" t="s">
        <v>282</v>
      </c>
      <c r="G108" s="8">
        <v>120639</v>
      </c>
      <c r="H108" s="8">
        <v>2</v>
      </c>
      <c r="I108" s="8" t="s">
        <v>283</v>
      </c>
      <c r="J108" s="8" t="s">
        <v>284</v>
      </c>
      <c r="K108" s="8">
        <v>134439</v>
      </c>
      <c r="L108" s="8">
        <v>2</v>
      </c>
      <c r="M108" s="8">
        <v>13800</v>
      </c>
      <c r="N108" s="8" t="s">
        <v>285</v>
      </c>
      <c r="O108" s="8" t="s">
        <v>286</v>
      </c>
      <c r="P108" s="8">
        <v>139505</v>
      </c>
      <c r="Q108" s="8">
        <v>2</v>
      </c>
      <c r="R108" s="8">
        <v>18866</v>
      </c>
      <c r="S108" s="8">
        <v>0.73099999999999998</v>
      </c>
      <c r="T108" s="8">
        <v>0.308</v>
      </c>
      <c r="U108" s="8">
        <v>16</v>
      </c>
      <c r="V108" s="8">
        <v>1</v>
      </c>
      <c r="W108" s="8">
        <v>52</v>
      </c>
      <c r="X108" s="8">
        <v>36</v>
      </c>
      <c r="Y108" s="8">
        <v>0</v>
      </c>
      <c r="Z108" s="8">
        <v>33.510833333333331</v>
      </c>
      <c r="AA108" s="8">
        <v>37.344166666666673</v>
      </c>
      <c r="AB108" s="8" t="s">
        <v>47</v>
      </c>
      <c r="AC108" s="8">
        <v>33</v>
      </c>
      <c r="AD108" s="8">
        <v>34239</v>
      </c>
      <c r="AE108" s="8">
        <v>48039</v>
      </c>
      <c r="AF108" s="8">
        <v>52</v>
      </c>
      <c r="AG108" s="8">
        <v>1</v>
      </c>
      <c r="AH108" s="8">
        <v>0.308</v>
      </c>
      <c r="AI108" s="8">
        <v>1</v>
      </c>
      <c r="AJ108" s="8">
        <v>10</v>
      </c>
      <c r="AK108" s="8">
        <v>15</v>
      </c>
      <c r="AL108" s="8">
        <v>5</v>
      </c>
    </row>
    <row r="109" spans="1:38" x14ac:dyDescent="0.35">
      <c r="A109" s="8" t="s">
        <v>287</v>
      </c>
      <c r="B109" s="8">
        <v>314972.04430000018</v>
      </c>
      <c r="C109" s="8">
        <v>6398060.0110999998</v>
      </c>
      <c r="D109" s="8">
        <v>2322228</v>
      </c>
      <c r="E109" s="8" t="s">
        <v>288</v>
      </c>
      <c r="F109" s="8" t="s">
        <v>289</v>
      </c>
      <c r="G109" s="8">
        <v>111464</v>
      </c>
      <c r="H109" s="8">
        <v>2</v>
      </c>
      <c r="I109" s="8" t="s">
        <v>290</v>
      </c>
      <c r="J109" s="8" t="s">
        <v>291</v>
      </c>
      <c r="K109" s="8">
        <v>125264</v>
      </c>
      <c r="L109" s="8">
        <v>2</v>
      </c>
      <c r="M109" s="8">
        <v>13800</v>
      </c>
      <c r="N109" s="8" t="s">
        <v>292</v>
      </c>
      <c r="O109" s="8" t="s">
        <v>293</v>
      </c>
      <c r="P109" s="8">
        <v>146456</v>
      </c>
      <c r="Q109" s="8">
        <v>2</v>
      </c>
      <c r="R109" s="8">
        <v>34992</v>
      </c>
      <c r="S109" s="8">
        <v>0.39400000000000002</v>
      </c>
      <c r="T109" s="8">
        <v>0.39300000000000002</v>
      </c>
      <c r="U109" s="8">
        <v>24</v>
      </c>
      <c r="V109" s="8">
        <v>1</v>
      </c>
      <c r="W109" s="8">
        <v>60</v>
      </c>
      <c r="X109" s="8">
        <v>36</v>
      </c>
      <c r="Y109" s="8">
        <v>0</v>
      </c>
      <c r="Z109" s="8">
        <v>30.96222222222222</v>
      </c>
      <c r="AA109" s="8">
        <v>34.795555555555552</v>
      </c>
      <c r="AB109" s="8" t="s">
        <v>47</v>
      </c>
      <c r="AC109" s="8">
        <v>30</v>
      </c>
      <c r="AD109" s="8">
        <v>25064</v>
      </c>
      <c r="AE109" s="8">
        <v>38864</v>
      </c>
      <c r="AF109" s="8">
        <v>60</v>
      </c>
      <c r="AG109" s="8">
        <v>1</v>
      </c>
      <c r="AH109" s="8">
        <v>0.39300000000000002</v>
      </c>
      <c r="AI109" s="8">
        <v>1</v>
      </c>
      <c r="AJ109" s="8">
        <v>7</v>
      </c>
      <c r="AK109" s="8">
        <v>13</v>
      </c>
      <c r="AL109" s="8">
        <v>6</v>
      </c>
    </row>
    <row r="110" spans="1:38" x14ac:dyDescent="0.35">
      <c r="A110" s="8" t="s">
        <v>313</v>
      </c>
      <c r="B110" s="8">
        <v>313141.72809999989</v>
      </c>
      <c r="C110" s="8">
        <v>6403565.5136999991</v>
      </c>
      <c r="D110" s="8">
        <v>2323217</v>
      </c>
      <c r="E110" s="8" t="s">
        <v>314</v>
      </c>
      <c r="F110" s="8" t="s">
        <v>315</v>
      </c>
      <c r="G110" s="8">
        <v>121602</v>
      </c>
      <c r="H110" s="8">
        <v>2</v>
      </c>
      <c r="I110" s="8" t="s">
        <v>316</v>
      </c>
      <c r="J110" s="8" t="s">
        <v>317</v>
      </c>
      <c r="K110" s="8">
        <v>135504</v>
      </c>
      <c r="L110" s="8">
        <v>2</v>
      </c>
      <c r="M110" s="8">
        <v>13902</v>
      </c>
      <c r="N110" s="8" t="s">
        <v>318</v>
      </c>
      <c r="O110" s="8" t="s">
        <v>319</v>
      </c>
      <c r="P110" s="8">
        <v>147380</v>
      </c>
      <c r="Q110" s="8">
        <v>2</v>
      </c>
      <c r="R110" s="8">
        <v>25778</v>
      </c>
      <c r="S110" s="8">
        <v>0.53900000000000003</v>
      </c>
      <c r="T110" s="8">
        <v>0.38800000000000001</v>
      </c>
      <c r="U110" s="8">
        <v>23</v>
      </c>
      <c r="V110" s="8">
        <v>1</v>
      </c>
      <c r="W110" s="8">
        <v>60</v>
      </c>
      <c r="X110" s="8">
        <v>37</v>
      </c>
      <c r="Y110" s="8">
        <v>0</v>
      </c>
      <c r="Z110" s="8">
        <v>33.778333333333329</v>
      </c>
      <c r="AA110" s="8">
        <v>37.64</v>
      </c>
      <c r="AB110" s="8" t="s">
        <v>47</v>
      </c>
      <c r="AC110" s="8">
        <v>33</v>
      </c>
      <c r="AD110" s="8">
        <v>35202</v>
      </c>
      <c r="AE110" s="8">
        <v>49104</v>
      </c>
      <c r="AF110" s="8">
        <v>60</v>
      </c>
      <c r="AG110" s="8">
        <v>1</v>
      </c>
      <c r="AH110" s="8">
        <v>0.38800000000000001</v>
      </c>
      <c r="AI110" s="8">
        <v>1</v>
      </c>
      <c r="AJ110" s="8">
        <v>10</v>
      </c>
      <c r="AK110" s="8">
        <v>16</v>
      </c>
      <c r="AL110" s="8">
        <v>6</v>
      </c>
    </row>
    <row r="111" spans="1:38" x14ac:dyDescent="0.35">
      <c r="A111" s="8" t="s">
        <v>404</v>
      </c>
      <c r="B111" s="8">
        <v>313394.43769999972</v>
      </c>
      <c r="C111" s="8">
        <v>6403069.3204999994</v>
      </c>
      <c r="D111" s="8">
        <v>2000658</v>
      </c>
      <c r="E111" s="8" t="s">
        <v>405</v>
      </c>
      <c r="F111" s="8" t="s">
        <v>406</v>
      </c>
      <c r="G111" s="8">
        <v>115865</v>
      </c>
      <c r="H111" s="8">
        <v>2</v>
      </c>
      <c r="I111" s="8" t="s">
        <v>407</v>
      </c>
      <c r="J111" s="8" t="s">
        <v>408</v>
      </c>
      <c r="K111" s="8">
        <v>130359</v>
      </c>
      <c r="L111" s="8">
        <v>2</v>
      </c>
      <c r="M111" s="8">
        <v>14494</v>
      </c>
      <c r="N111" s="8" t="s">
        <v>409</v>
      </c>
      <c r="O111" s="8" t="s">
        <v>410</v>
      </c>
      <c r="P111" s="8">
        <v>144067</v>
      </c>
      <c r="Q111" s="8">
        <v>2</v>
      </c>
      <c r="R111" s="8">
        <v>28202</v>
      </c>
      <c r="S111" s="8">
        <v>0.51400000000000001</v>
      </c>
      <c r="T111" s="8">
        <v>0.26700000000000002</v>
      </c>
      <c r="U111" s="8">
        <v>14</v>
      </c>
      <c r="V111" s="8">
        <v>1</v>
      </c>
      <c r="W111" s="8">
        <v>52</v>
      </c>
      <c r="X111" s="8">
        <v>38</v>
      </c>
      <c r="Y111" s="8">
        <v>0</v>
      </c>
      <c r="Z111" s="8">
        <v>32.18472222222222</v>
      </c>
      <c r="AA111" s="8">
        <v>36.210833333333333</v>
      </c>
      <c r="AB111" s="8" t="s">
        <v>47</v>
      </c>
      <c r="AC111" s="8">
        <v>32</v>
      </c>
      <c r="AD111" s="8">
        <v>29465</v>
      </c>
      <c r="AE111" s="8">
        <v>43959</v>
      </c>
      <c r="AF111" s="8">
        <v>52</v>
      </c>
      <c r="AG111" s="8">
        <v>1</v>
      </c>
      <c r="AH111" s="8">
        <v>0.26700000000000002</v>
      </c>
      <c r="AI111" s="8">
        <v>1</v>
      </c>
      <c r="AJ111" s="8">
        <v>8</v>
      </c>
      <c r="AK111" s="8">
        <v>14</v>
      </c>
      <c r="AL111" s="8">
        <v>6</v>
      </c>
    </row>
    <row r="112" spans="1:38" x14ac:dyDescent="0.35">
      <c r="A112" s="8" t="s">
        <v>411</v>
      </c>
      <c r="B112" s="8">
        <v>316055.37739999959</v>
      </c>
      <c r="C112" s="8">
        <v>6397887.4978999998</v>
      </c>
      <c r="D112" s="8">
        <v>2041965</v>
      </c>
      <c r="E112" s="8" t="s">
        <v>412</v>
      </c>
      <c r="F112" s="8" t="s">
        <v>413</v>
      </c>
      <c r="G112" s="8">
        <v>120225</v>
      </c>
      <c r="H112" s="8">
        <v>2</v>
      </c>
      <c r="I112" s="8" t="s">
        <v>414</v>
      </c>
      <c r="J112" s="8" t="s">
        <v>415</v>
      </c>
      <c r="K112" s="8">
        <v>134744</v>
      </c>
      <c r="L112" s="8">
        <v>2</v>
      </c>
      <c r="M112" s="8">
        <v>14519</v>
      </c>
      <c r="N112" s="8" t="s">
        <v>416</v>
      </c>
      <c r="O112" s="8" t="s">
        <v>417</v>
      </c>
      <c r="P112" s="8">
        <v>150031</v>
      </c>
      <c r="Q112" s="8">
        <v>2</v>
      </c>
      <c r="R112" s="8">
        <v>29806</v>
      </c>
      <c r="S112" s="8">
        <v>0.48699999999999999</v>
      </c>
      <c r="T112" s="8">
        <v>0.46</v>
      </c>
      <c r="U112" s="8">
        <v>35</v>
      </c>
      <c r="V112" s="8">
        <v>1</v>
      </c>
      <c r="W112" s="8">
        <v>75</v>
      </c>
      <c r="X112" s="8">
        <v>40</v>
      </c>
      <c r="Y112" s="8">
        <v>0</v>
      </c>
      <c r="Z112" s="8">
        <v>33.395833333333343</v>
      </c>
      <c r="AA112" s="8">
        <v>37.428888888888878</v>
      </c>
      <c r="AB112" s="8" t="s">
        <v>47</v>
      </c>
      <c r="AC112" s="8">
        <v>33</v>
      </c>
      <c r="AD112" s="8">
        <v>33825</v>
      </c>
      <c r="AE112" s="8">
        <v>48344</v>
      </c>
      <c r="AF112" s="8">
        <v>75</v>
      </c>
      <c r="AG112" s="8">
        <v>1</v>
      </c>
      <c r="AH112" s="8">
        <v>0.46</v>
      </c>
      <c r="AI112" s="8">
        <v>1</v>
      </c>
      <c r="AJ112" s="8">
        <v>9</v>
      </c>
      <c r="AK112" s="8">
        <v>15</v>
      </c>
      <c r="AL112" s="8">
        <v>6</v>
      </c>
    </row>
    <row r="113" spans="1:38" x14ac:dyDescent="0.35">
      <c r="A113" s="8" t="s">
        <v>458</v>
      </c>
      <c r="B113" s="8">
        <v>316562.18840000028</v>
      </c>
      <c r="C113" s="8">
        <v>6401040.6305999998</v>
      </c>
      <c r="D113" s="8">
        <v>2126159</v>
      </c>
      <c r="E113" s="8" t="s">
        <v>459</v>
      </c>
      <c r="F113" s="8" t="s">
        <v>460</v>
      </c>
      <c r="G113" s="8">
        <v>126540</v>
      </c>
      <c r="H113" s="8">
        <v>2</v>
      </c>
      <c r="I113" s="8" t="s">
        <v>461</v>
      </c>
      <c r="J113" s="8" t="s">
        <v>462</v>
      </c>
      <c r="K113" s="8">
        <v>141209</v>
      </c>
      <c r="L113" s="8">
        <v>2</v>
      </c>
      <c r="M113" s="8">
        <v>14669</v>
      </c>
      <c r="N113" s="8" t="s">
        <v>463</v>
      </c>
      <c r="O113" s="8" t="s">
        <v>464</v>
      </c>
      <c r="P113" s="8">
        <v>145713</v>
      </c>
      <c r="Q113" s="8">
        <v>2</v>
      </c>
      <c r="R113" s="8">
        <v>19173</v>
      </c>
      <c r="S113" s="8">
        <v>0.76500000000000001</v>
      </c>
      <c r="T113" s="8">
        <v>5.3999999999999999E-2</v>
      </c>
      <c r="U113" s="8">
        <v>2</v>
      </c>
      <c r="V113" s="8">
        <v>1</v>
      </c>
      <c r="W113" s="8">
        <v>42</v>
      </c>
      <c r="X113" s="8">
        <v>40</v>
      </c>
      <c r="Y113" s="8">
        <v>0</v>
      </c>
      <c r="Z113" s="8">
        <v>35.15</v>
      </c>
      <c r="AA113" s="8">
        <v>39.224722222222233</v>
      </c>
      <c r="AB113" s="8" t="s">
        <v>47</v>
      </c>
      <c r="AC113" s="8">
        <v>35</v>
      </c>
      <c r="AD113" s="8">
        <v>40140</v>
      </c>
      <c r="AE113" s="8">
        <v>54809</v>
      </c>
      <c r="AF113" s="8">
        <v>42</v>
      </c>
      <c r="AG113" s="8">
        <v>1</v>
      </c>
      <c r="AH113" s="8">
        <v>5.3999999999999999E-2</v>
      </c>
      <c r="AI113" s="8">
        <v>1</v>
      </c>
      <c r="AJ113" s="8">
        <v>11</v>
      </c>
      <c r="AK113" s="8">
        <v>17</v>
      </c>
      <c r="AL113" s="8">
        <v>6</v>
      </c>
    </row>
    <row r="114" spans="1:38" x14ac:dyDescent="0.35">
      <c r="A114" s="8" t="s">
        <v>526</v>
      </c>
      <c r="B114" s="8">
        <v>317170.77770000038</v>
      </c>
      <c r="C114" s="8">
        <v>6394379.0584999993</v>
      </c>
      <c r="D114" s="8">
        <v>2108847</v>
      </c>
      <c r="E114" s="8" t="s">
        <v>527</v>
      </c>
      <c r="F114" s="8" t="s">
        <v>528</v>
      </c>
      <c r="G114" s="8">
        <v>128208</v>
      </c>
      <c r="H114" s="8">
        <v>2</v>
      </c>
      <c r="I114" s="8" t="s">
        <v>529</v>
      </c>
      <c r="J114" s="8" t="s">
        <v>530</v>
      </c>
      <c r="K114" s="8">
        <v>143114</v>
      </c>
      <c r="L114" s="8">
        <v>2</v>
      </c>
      <c r="M114" s="8">
        <v>14906</v>
      </c>
      <c r="N114" s="8" t="s">
        <v>531</v>
      </c>
      <c r="O114" s="8" t="s">
        <v>532</v>
      </c>
      <c r="P114" s="8">
        <v>151650</v>
      </c>
      <c r="Q114" s="8">
        <v>2</v>
      </c>
      <c r="R114" s="8">
        <v>23442</v>
      </c>
      <c r="S114" s="8">
        <v>0.63600000000000001</v>
      </c>
      <c r="T114" s="8">
        <v>0.44400000000000001</v>
      </c>
      <c r="U114" s="8">
        <v>33</v>
      </c>
      <c r="V114" s="8">
        <v>1</v>
      </c>
      <c r="W114" s="8">
        <v>75</v>
      </c>
      <c r="X114" s="8">
        <v>42</v>
      </c>
      <c r="Y114" s="8">
        <v>0</v>
      </c>
      <c r="Z114" s="8">
        <v>35.613333333333337</v>
      </c>
      <c r="AA114" s="8">
        <v>39.753888888888888</v>
      </c>
      <c r="AB114" s="8" t="s">
        <v>47</v>
      </c>
      <c r="AC114" s="8">
        <v>35</v>
      </c>
      <c r="AD114" s="8">
        <v>41808</v>
      </c>
      <c r="AE114" s="8">
        <v>56714</v>
      </c>
      <c r="AF114" s="8">
        <v>75</v>
      </c>
      <c r="AG114" s="8">
        <v>1</v>
      </c>
      <c r="AH114" s="8">
        <v>0.44400000000000001</v>
      </c>
      <c r="AI114" s="8">
        <v>1</v>
      </c>
      <c r="AJ114" s="8">
        <v>12</v>
      </c>
      <c r="AK114" s="8">
        <v>18</v>
      </c>
      <c r="AL114" s="8">
        <v>6</v>
      </c>
    </row>
    <row r="115" spans="1:38" x14ac:dyDescent="0.35">
      <c r="A115" s="8" t="s">
        <v>547</v>
      </c>
      <c r="B115" s="8">
        <v>312000.95359999972</v>
      </c>
      <c r="C115" s="8">
        <v>6401045.9606999997</v>
      </c>
      <c r="D115" s="8">
        <v>2128495</v>
      </c>
      <c r="E115" s="8" t="s">
        <v>548</v>
      </c>
      <c r="F115" s="8" t="s">
        <v>549</v>
      </c>
      <c r="G115" s="8">
        <v>114728</v>
      </c>
      <c r="H115" s="8">
        <v>2</v>
      </c>
      <c r="I115" s="8" t="s">
        <v>550</v>
      </c>
      <c r="J115" s="8" t="s">
        <v>551</v>
      </c>
      <c r="K115" s="8">
        <v>129724</v>
      </c>
      <c r="L115" s="8">
        <v>2</v>
      </c>
      <c r="M115" s="8">
        <v>14996</v>
      </c>
      <c r="N115" s="8" t="s">
        <v>552</v>
      </c>
      <c r="O115" s="8" t="s">
        <v>553</v>
      </c>
      <c r="P115" s="8">
        <v>148492</v>
      </c>
      <c r="Q115" s="8">
        <v>2</v>
      </c>
      <c r="R115" s="8">
        <v>33764</v>
      </c>
      <c r="S115" s="8">
        <v>0.44400000000000001</v>
      </c>
      <c r="T115" s="8">
        <v>0.44</v>
      </c>
      <c r="U115" s="8">
        <v>33</v>
      </c>
      <c r="V115" s="8">
        <v>1</v>
      </c>
      <c r="W115" s="8">
        <v>75</v>
      </c>
      <c r="X115" s="8">
        <v>42</v>
      </c>
      <c r="Y115" s="8">
        <v>0</v>
      </c>
      <c r="Z115" s="8">
        <v>31.86888888888889</v>
      </c>
      <c r="AA115" s="8">
        <v>36.034444444444439</v>
      </c>
      <c r="AB115" s="8" t="s">
        <v>47</v>
      </c>
      <c r="AC115" s="8">
        <v>31</v>
      </c>
      <c r="AD115" s="8">
        <v>28328</v>
      </c>
      <c r="AE115" s="8">
        <v>43324</v>
      </c>
      <c r="AF115" s="8">
        <v>75</v>
      </c>
      <c r="AG115" s="8">
        <v>1</v>
      </c>
      <c r="AH115" s="8">
        <v>0.44</v>
      </c>
      <c r="AI115" s="8">
        <v>1</v>
      </c>
      <c r="AJ115" s="8">
        <v>8</v>
      </c>
      <c r="AK115" s="8">
        <v>14</v>
      </c>
      <c r="AL115" s="8">
        <v>6</v>
      </c>
    </row>
    <row r="116" spans="1:38" x14ac:dyDescent="0.35">
      <c r="A116" s="8" t="s">
        <v>587</v>
      </c>
      <c r="B116" s="8">
        <v>312987.03000000032</v>
      </c>
      <c r="C116" s="8">
        <v>6403178.9367999993</v>
      </c>
      <c r="D116" s="8">
        <v>1942487</v>
      </c>
      <c r="E116" s="8" t="s">
        <v>588</v>
      </c>
      <c r="F116" s="8" t="s">
        <v>589</v>
      </c>
      <c r="G116" s="8">
        <v>107151</v>
      </c>
      <c r="H116" s="8">
        <v>2</v>
      </c>
      <c r="I116" s="8" t="s">
        <v>590</v>
      </c>
      <c r="J116" s="8" t="s">
        <v>591</v>
      </c>
      <c r="K116" s="8">
        <v>122354</v>
      </c>
      <c r="L116" s="8">
        <v>2</v>
      </c>
      <c r="M116" s="8">
        <v>15203</v>
      </c>
      <c r="N116" s="8" t="s">
        <v>592</v>
      </c>
      <c r="O116" s="8" t="s">
        <v>593</v>
      </c>
      <c r="P116" s="8">
        <v>133590</v>
      </c>
      <c r="Q116" s="8">
        <v>2</v>
      </c>
      <c r="R116" s="8">
        <v>26439</v>
      </c>
      <c r="S116" s="8">
        <v>0.57499999999999996</v>
      </c>
      <c r="T116" s="8">
        <v>0.22600000000000001</v>
      </c>
      <c r="U116" s="8">
        <v>12</v>
      </c>
      <c r="V116" s="8">
        <v>1</v>
      </c>
      <c r="W116" s="8">
        <v>52</v>
      </c>
      <c r="X116" s="8">
        <v>40</v>
      </c>
      <c r="Y116" s="8">
        <v>0</v>
      </c>
      <c r="Z116" s="8">
        <v>29.764166666666672</v>
      </c>
      <c r="AA116" s="8">
        <v>33.987222222222222</v>
      </c>
      <c r="AB116" s="8" t="s">
        <v>47</v>
      </c>
      <c r="AC116" s="8">
        <v>29</v>
      </c>
      <c r="AD116" s="8">
        <v>20751</v>
      </c>
      <c r="AE116" s="8">
        <v>35954</v>
      </c>
      <c r="AF116" s="8">
        <v>52</v>
      </c>
      <c r="AG116" s="8">
        <v>1</v>
      </c>
      <c r="AH116" s="8">
        <v>0.22600000000000001</v>
      </c>
      <c r="AI116" s="8">
        <v>1</v>
      </c>
      <c r="AJ116" s="8">
        <v>6</v>
      </c>
      <c r="AK116" s="8">
        <v>12</v>
      </c>
      <c r="AL116" s="8">
        <v>6</v>
      </c>
    </row>
    <row r="117" spans="1:38" x14ac:dyDescent="0.35">
      <c r="A117" s="8" t="s">
        <v>629</v>
      </c>
      <c r="B117" s="8">
        <v>312965.78870000038</v>
      </c>
      <c r="C117" s="8">
        <v>6403149.8715000004</v>
      </c>
      <c r="D117" s="8">
        <v>4743170</v>
      </c>
      <c r="E117" s="8" t="s">
        <v>630</v>
      </c>
      <c r="F117" s="8" t="s">
        <v>631</v>
      </c>
      <c r="G117" s="8">
        <v>122082</v>
      </c>
      <c r="H117" s="8">
        <v>2</v>
      </c>
      <c r="I117" s="8" t="s">
        <v>632</v>
      </c>
      <c r="J117" s="8" t="s">
        <v>633</v>
      </c>
      <c r="K117" s="8">
        <v>137394</v>
      </c>
      <c r="L117" s="8">
        <v>2</v>
      </c>
      <c r="M117" s="8">
        <v>15312</v>
      </c>
      <c r="N117" s="8" t="s">
        <v>634</v>
      </c>
      <c r="O117" s="8" t="s">
        <v>635</v>
      </c>
      <c r="P117" s="8">
        <v>148104</v>
      </c>
      <c r="Q117" s="8">
        <v>2</v>
      </c>
      <c r="R117" s="8">
        <v>26022</v>
      </c>
      <c r="S117" s="8">
        <v>0.58799999999999997</v>
      </c>
      <c r="T117" s="8">
        <v>0.42799999999999999</v>
      </c>
      <c r="U117" s="8">
        <v>32</v>
      </c>
      <c r="V117" s="8">
        <v>1</v>
      </c>
      <c r="W117" s="8">
        <v>75</v>
      </c>
      <c r="X117" s="8">
        <v>43</v>
      </c>
      <c r="Y117" s="8">
        <v>0</v>
      </c>
      <c r="Z117" s="8">
        <v>33.911666666666662</v>
      </c>
      <c r="AA117" s="8">
        <v>38.164999999999999</v>
      </c>
      <c r="AB117" s="8" t="s">
        <v>47</v>
      </c>
      <c r="AC117" s="8">
        <v>33</v>
      </c>
      <c r="AD117" s="8">
        <v>35682</v>
      </c>
      <c r="AE117" s="8">
        <v>50994</v>
      </c>
      <c r="AF117" s="8">
        <v>75</v>
      </c>
      <c r="AG117" s="8">
        <v>1</v>
      </c>
      <c r="AH117" s="8">
        <v>0.42799999999999999</v>
      </c>
      <c r="AI117" s="8">
        <v>1</v>
      </c>
      <c r="AJ117" s="8">
        <v>10</v>
      </c>
      <c r="AK117" s="8">
        <v>16</v>
      </c>
      <c r="AL117" s="8">
        <v>6</v>
      </c>
    </row>
    <row r="118" spans="1:38" x14ac:dyDescent="0.35">
      <c r="A118" s="8" t="s">
        <v>662</v>
      </c>
      <c r="B118" s="8">
        <v>312618.64989999961</v>
      </c>
      <c r="C118" s="8">
        <v>6399106.0607999992</v>
      </c>
      <c r="D118" s="8">
        <v>4662182</v>
      </c>
      <c r="E118" s="8" t="s">
        <v>663</v>
      </c>
      <c r="F118" s="8" t="s">
        <v>664</v>
      </c>
      <c r="G118" s="8">
        <v>120484</v>
      </c>
      <c r="H118" s="8">
        <v>2</v>
      </c>
      <c r="I118" s="8" t="s">
        <v>665</v>
      </c>
      <c r="J118" s="8" t="s">
        <v>666</v>
      </c>
      <c r="K118" s="8">
        <v>135899</v>
      </c>
      <c r="L118" s="8">
        <v>2</v>
      </c>
      <c r="M118" s="8">
        <v>15415</v>
      </c>
      <c r="N118" s="8" t="s">
        <v>667</v>
      </c>
      <c r="O118" s="8" t="s">
        <v>668</v>
      </c>
      <c r="P118" s="8">
        <v>140853</v>
      </c>
      <c r="Q118" s="8">
        <v>2</v>
      </c>
      <c r="R118" s="8">
        <v>20369</v>
      </c>
      <c r="S118" s="8">
        <v>0.75700000000000001</v>
      </c>
      <c r="T118" s="8">
        <v>0.311</v>
      </c>
      <c r="U118" s="8">
        <v>19</v>
      </c>
      <c r="V118" s="8">
        <v>1</v>
      </c>
      <c r="W118" s="8">
        <v>60</v>
      </c>
      <c r="X118" s="8">
        <v>41</v>
      </c>
      <c r="Y118" s="8">
        <v>0</v>
      </c>
      <c r="Z118" s="8">
        <v>33.467777777777783</v>
      </c>
      <c r="AA118" s="8">
        <v>37.749722222222232</v>
      </c>
      <c r="AB118" s="8" t="s">
        <v>47</v>
      </c>
      <c r="AC118" s="8">
        <v>33</v>
      </c>
      <c r="AD118" s="8">
        <v>34084</v>
      </c>
      <c r="AE118" s="8">
        <v>49499</v>
      </c>
      <c r="AF118" s="8">
        <v>60</v>
      </c>
      <c r="AG118" s="8">
        <v>1</v>
      </c>
      <c r="AH118" s="8">
        <v>0.311</v>
      </c>
      <c r="AI118" s="8">
        <v>1</v>
      </c>
      <c r="AJ118" s="8">
        <v>9</v>
      </c>
      <c r="AK118" s="8">
        <v>16</v>
      </c>
      <c r="AL118" s="8">
        <v>7</v>
      </c>
    </row>
    <row r="119" spans="1:38" x14ac:dyDescent="0.35">
      <c r="A119" s="8" t="s">
        <v>688</v>
      </c>
      <c r="B119" s="8">
        <v>316615.16640000051</v>
      </c>
      <c r="C119" s="8">
        <v>6397101.4200999998</v>
      </c>
      <c r="D119" s="8">
        <v>4609228</v>
      </c>
      <c r="E119" s="8" t="s">
        <v>689</v>
      </c>
      <c r="F119" s="8" t="s">
        <v>690</v>
      </c>
      <c r="G119" s="8">
        <v>115045</v>
      </c>
      <c r="H119" s="8">
        <v>2</v>
      </c>
      <c r="I119" s="8" t="s">
        <v>691</v>
      </c>
      <c r="J119" s="8" t="s">
        <v>692</v>
      </c>
      <c r="K119" s="8">
        <v>130669</v>
      </c>
      <c r="L119" s="8">
        <v>2</v>
      </c>
      <c r="M119" s="8">
        <v>15624</v>
      </c>
      <c r="N119" s="8" t="s">
        <v>693</v>
      </c>
      <c r="O119" s="8" t="s">
        <v>694</v>
      </c>
      <c r="P119" s="8">
        <v>146168</v>
      </c>
      <c r="Q119" s="8">
        <v>2</v>
      </c>
      <c r="R119" s="8">
        <v>31123</v>
      </c>
      <c r="S119" s="8">
        <v>0.502</v>
      </c>
      <c r="T119" s="8">
        <v>0.41499999999999998</v>
      </c>
      <c r="U119" s="8">
        <v>31</v>
      </c>
      <c r="V119" s="8">
        <v>1</v>
      </c>
      <c r="W119" s="8">
        <v>75</v>
      </c>
      <c r="X119" s="8">
        <v>44</v>
      </c>
      <c r="Y119" s="8">
        <v>0</v>
      </c>
      <c r="Z119" s="8">
        <v>31.956944444444439</v>
      </c>
      <c r="AA119" s="8">
        <v>36.296944444444442</v>
      </c>
      <c r="AB119" s="8" t="s">
        <v>47</v>
      </c>
      <c r="AC119" s="8">
        <v>31</v>
      </c>
      <c r="AD119" s="8">
        <v>28645</v>
      </c>
      <c r="AE119" s="8">
        <v>44269</v>
      </c>
      <c r="AF119" s="8">
        <v>75</v>
      </c>
      <c r="AG119" s="8">
        <v>1</v>
      </c>
      <c r="AH119" s="8">
        <v>0.41499999999999998</v>
      </c>
      <c r="AI119" s="8">
        <v>1</v>
      </c>
      <c r="AJ119" s="8">
        <v>8</v>
      </c>
      <c r="AK119" s="8">
        <v>14</v>
      </c>
      <c r="AL119" s="8">
        <v>6</v>
      </c>
    </row>
    <row r="120" spans="1:38" x14ac:dyDescent="0.35">
      <c r="A120" s="8" t="s">
        <v>758</v>
      </c>
      <c r="B120" s="8">
        <v>312494.56649999972</v>
      </c>
      <c r="C120" s="8">
        <v>6393855.3067000005</v>
      </c>
      <c r="D120" s="8">
        <v>2323878</v>
      </c>
      <c r="E120" s="8" t="s">
        <v>759</v>
      </c>
      <c r="F120" s="8" t="s">
        <v>760</v>
      </c>
      <c r="G120" s="8">
        <v>119164</v>
      </c>
      <c r="H120" s="8">
        <v>2</v>
      </c>
      <c r="I120" s="8" t="s">
        <v>761</v>
      </c>
      <c r="J120" s="8" t="s">
        <v>762</v>
      </c>
      <c r="K120" s="8">
        <v>135434</v>
      </c>
      <c r="L120" s="8">
        <v>2</v>
      </c>
      <c r="M120" s="8">
        <v>16270</v>
      </c>
      <c r="N120" s="8" t="s">
        <v>763</v>
      </c>
      <c r="O120" s="8" t="s">
        <v>764</v>
      </c>
      <c r="P120" s="8">
        <v>149149</v>
      </c>
      <c r="Q120" s="8">
        <v>2</v>
      </c>
      <c r="R120" s="8">
        <v>29985</v>
      </c>
      <c r="S120" s="8">
        <v>0.54300000000000004</v>
      </c>
      <c r="T120" s="8">
        <v>0.38800000000000001</v>
      </c>
      <c r="U120" s="8">
        <v>29</v>
      </c>
      <c r="V120" s="8">
        <v>1</v>
      </c>
      <c r="W120" s="8">
        <v>75</v>
      </c>
      <c r="X120" s="8">
        <v>46</v>
      </c>
      <c r="Y120" s="8">
        <v>0</v>
      </c>
      <c r="Z120" s="8">
        <v>33.101111111111109</v>
      </c>
      <c r="AA120" s="8">
        <v>37.620555555555562</v>
      </c>
      <c r="AB120" s="8" t="s">
        <v>47</v>
      </c>
      <c r="AC120" s="8">
        <v>33</v>
      </c>
      <c r="AD120" s="8">
        <v>32764</v>
      </c>
      <c r="AE120" s="8">
        <v>49034</v>
      </c>
      <c r="AF120" s="8">
        <v>75</v>
      </c>
      <c r="AG120" s="8">
        <v>1</v>
      </c>
      <c r="AH120" s="8">
        <v>0.38800000000000001</v>
      </c>
      <c r="AI120" s="8">
        <v>1</v>
      </c>
      <c r="AJ120" s="8">
        <v>9</v>
      </c>
      <c r="AK120" s="8">
        <v>16</v>
      </c>
      <c r="AL120" s="8">
        <v>7</v>
      </c>
    </row>
    <row r="121" spans="1:38" x14ac:dyDescent="0.35">
      <c r="A121" s="8" t="s">
        <v>777</v>
      </c>
      <c r="B121" s="8">
        <v>312949.72670000052</v>
      </c>
      <c r="C121" s="8">
        <v>6403203.2126000002</v>
      </c>
      <c r="D121" s="8">
        <v>4706744</v>
      </c>
      <c r="E121" s="8" t="s">
        <v>778</v>
      </c>
      <c r="F121" s="8" t="s">
        <v>779</v>
      </c>
      <c r="G121" s="8">
        <v>118831</v>
      </c>
      <c r="H121" s="8">
        <v>2</v>
      </c>
      <c r="I121" s="8" t="s">
        <v>780</v>
      </c>
      <c r="J121" s="8" t="s">
        <v>781</v>
      </c>
      <c r="K121" s="8">
        <v>135299</v>
      </c>
      <c r="L121" s="8">
        <v>2</v>
      </c>
      <c r="M121" s="8">
        <v>16468</v>
      </c>
      <c r="N121" s="8" t="s">
        <v>782</v>
      </c>
      <c r="O121" s="8" t="s">
        <v>783</v>
      </c>
      <c r="P121" s="8">
        <v>151036</v>
      </c>
      <c r="Q121" s="8">
        <v>2</v>
      </c>
      <c r="R121" s="8">
        <v>32205</v>
      </c>
      <c r="S121" s="8">
        <v>0.51100000000000001</v>
      </c>
      <c r="T121" s="8">
        <v>0.151</v>
      </c>
      <c r="U121" s="8">
        <v>8</v>
      </c>
      <c r="V121" s="8">
        <v>1</v>
      </c>
      <c r="W121" s="8">
        <v>52</v>
      </c>
      <c r="X121" s="8">
        <v>44</v>
      </c>
      <c r="Y121" s="8">
        <v>0</v>
      </c>
      <c r="Z121" s="8">
        <v>33.008611111111108</v>
      </c>
      <c r="AA121" s="8">
        <v>37.583055555555561</v>
      </c>
      <c r="AB121" s="8" t="s">
        <v>47</v>
      </c>
      <c r="AC121" s="8">
        <v>33</v>
      </c>
      <c r="AD121" s="8">
        <v>32431</v>
      </c>
      <c r="AE121" s="8">
        <v>48899</v>
      </c>
      <c r="AF121" s="8">
        <v>52</v>
      </c>
      <c r="AG121" s="8">
        <v>1</v>
      </c>
      <c r="AH121" s="8">
        <v>0.151</v>
      </c>
      <c r="AI121" s="8">
        <v>1</v>
      </c>
      <c r="AJ121" s="8">
        <v>9</v>
      </c>
      <c r="AK121" s="8">
        <v>16</v>
      </c>
      <c r="AL121" s="8">
        <v>7</v>
      </c>
    </row>
    <row r="122" spans="1:38" x14ac:dyDescent="0.35">
      <c r="A122" s="8" t="s">
        <v>815</v>
      </c>
      <c r="B122" s="8">
        <v>317789.20399999991</v>
      </c>
      <c r="C122" s="8">
        <v>6399272.4560000002</v>
      </c>
      <c r="D122" s="8">
        <v>2016954</v>
      </c>
      <c r="E122" s="8" t="s">
        <v>816</v>
      </c>
      <c r="F122" s="8" t="s">
        <v>817</v>
      </c>
      <c r="G122" s="8">
        <v>119265</v>
      </c>
      <c r="H122" s="8">
        <v>2</v>
      </c>
      <c r="I122" s="8" t="s">
        <v>818</v>
      </c>
      <c r="J122" s="8" t="s">
        <v>819</v>
      </c>
      <c r="K122" s="8">
        <v>136404</v>
      </c>
      <c r="L122" s="8">
        <v>2</v>
      </c>
      <c r="M122" s="8">
        <v>17139</v>
      </c>
      <c r="N122" s="8" t="s">
        <v>820</v>
      </c>
      <c r="O122" s="8" t="s">
        <v>821</v>
      </c>
      <c r="P122" s="8">
        <v>146504</v>
      </c>
      <c r="Q122" s="8">
        <v>2</v>
      </c>
      <c r="R122" s="8">
        <v>27239</v>
      </c>
      <c r="S122" s="8">
        <v>0.629</v>
      </c>
      <c r="T122" s="8">
        <v>0.224</v>
      </c>
      <c r="U122" s="8">
        <v>13</v>
      </c>
      <c r="V122" s="8">
        <v>1</v>
      </c>
      <c r="W122" s="8">
        <v>60</v>
      </c>
      <c r="X122" s="8">
        <v>47</v>
      </c>
      <c r="Y122" s="8">
        <v>0</v>
      </c>
      <c r="Z122" s="8">
        <v>33.12916666666667</v>
      </c>
      <c r="AA122" s="8">
        <v>37.89</v>
      </c>
      <c r="AB122" s="8" t="s">
        <v>47</v>
      </c>
      <c r="AC122" s="8">
        <v>33</v>
      </c>
      <c r="AD122" s="8">
        <v>32865</v>
      </c>
      <c r="AE122" s="8">
        <v>50004</v>
      </c>
      <c r="AF122" s="8">
        <v>60</v>
      </c>
      <c r="AG122" s="8">
        <v>1</v>
      </c>
      <c r="AH122" s="8">
        <v>0.224</v>
      </c>
      <c r="AI122" s="8">
        <v>1</v>
      </c>
      <c r="AJ122" s="8">
        <v>9</v>
      </c>
      <c r="AK122" s="8">
        <v>16</v>
      </c>
      <c r="AL122" s="8">
        <v>7</v>
      </c>
    </row>
    <row r="123" spans="1:38" x14ac:dyDescent="0.35">
      <c r="A123" s="8" t="s">
        <v>822</v>
      </c>
      <c r="B123" s="8">
        <v>317063.65919999959</v>
      </c>
      <c r="C123" s="8">
        <v>6395665.0899</v>
      </c>
      <c r="D123" s="8">
        <v>9533070</v>
      </c>
      <c r="E123" s="8" t="s">
        <v>823</v>
      </c>
      <c r="F123" s="8" t="s">
        <v>824</v>
      </c>
      <c r="G123" s="8">
        <v>115047</v>
      </c>
      <c r="H123" s="8">
        <v>2</v>
      </c>
      <c r="I123" s="8" t="s">
        <v>825</v>
      </c>
      <c r="J123" s="8" t="s">
        <v>826</v>
      </c>
      <c r="K123" s="8">
        <v>132214</v>
      </c>
      <c r="L123" s="8">
        <v>2</v>
      </c>
      <c r="M123" s="8">
        <v>17167</v>
      </c>
      <c r="N123" s="8" t="s">
        <v>827</v>
      </c>
      <c r="O123" s="8" t="s">
        <v>828</v>
      </c>
      <c r="P123" s="8">
        <v>145859</v>
      </c>
      <c r="Q123" s="8">
        <v>2</v>
      </c>
      <c r="R123" s="8">
        <v>30812</v>
      </c>
      <c r="S123" s="8">
        <v>0.55700000000000005</v>
      </c>
      <c r="T123" s="8">
        <v>0.35199999999999998</v>
      </c>
      <c r="U123" s="8">
        <v>26</v>
      </c>
      <c r="V123" s="8">
        <v>1</v>
      </c>
      <c r="W123" s="8">
        <v>75</v>
      </c>
      <c r="X123" s="8">
        <v>49</v>
      </c>
      <c r="Y123" s="8">
        <v>0</v>
      </c>
      <c r="Z123" s="8">
        <v>31.9575</v>
      </c>
      <c r="AA123" s="8">
        <v>36.726111111111123</v>
      </c>
      <c r="AB123" s="8" t="s">
        <v>47</v>
      </c>
      <c r="AC123" s="8">
        <v>31</v>
      </c>
      <c r="AD123" s="8">
        <v>28647</v>
      </c>
      <c r="AE123" s="8">
        <v>45814</v>
      </c>
      <c r="AF123" s="8">
        <v>75</v>
      </c>
      <c r="AG123" s="8">
        <v>1</v>
      </c>
      <c r="AH123" s="8">
        <v>0.35199999999999998</v>
      </c>
      <c r="AI123" s="8">
        <v>1</v>
      </c>
      <c r="AJ123" s="8">
        <v>8</v>
      </c>
      <c r="AK123" s="8">
        <v>15</v>
      </c>
      <c r="AL123" s="8">
        <v>7</v>
      </c>
    </row>
    <row r="124" spans="1:38" x14ac:dyDescent="0.35">
      <c r="A124" s="8" t="s">
        <v>836</v>
      </c>
      <c r="B124" s="8">
        <v>311726.47410000023</v>
      </c>
      <c r="C124" s="8">
        <v>6400476.8192999996</v>
      </c>
      <c r="D124" s="8">
        <v>9520182</v>
      </c>
      <c r="E124" s="8" t="s">
        <v>837</v>
      </c>
      <c r="F124" s="8" t="s">
        <v>838</v>
      </c>
      <c r="G124" s="8">
        <v>115004</v>
      </c>
      <c r="H124" s="8">
        <v>2</v>
      </c>
      <c r="I124" s="8" t="s">
        <v>839</v>
      </c>
      <c r="J124" s="8" t="s">
        <v>840</v>
      </c>
      <c r="K124" s="8">
        <v>132499</v>
      </c>
      <c r="L124" s="8">
        <v>2</v>
      </c>
      <c r="M124" s="8">
        <v>17495</v>
      </c>
      <c r="N124" s="8" t="s">
        <v>841</v>
      </c>
      <c r="O124" s="8" t="s">
        <v>842</v>
      </c>
      <c r="P124" s="8">
        <v>153123</v>
      </c>
      <c r="Q124" s="8">
        <v>2</v>
      </c>
      <c r="R124" s="8">
        <v>38119</v>
      </c>
      <c r="S124" s="8">
        <v>0.45900000000000002</v>
      </c>
      <c r="T124" s="8">
        <v>0.33900000000000002</v>
      </c>
      <c r="U124" s="8">
        <v>25</v>
      </c>
      <c r="V124" s="8">
        <v>1</v>
      </c>
      <c r="W124" s="8">
        <v>75</v>
      </c>
      <c r="X124" s="8">
        <v>50</v>
      </c>
      <c r="Y124" s="8">
        <v>0</v>
      </c>
      <c r="Z124" s="8">
        <v>31.945555555555561</v>
      </c>
      <c r="AA124" s="8">
        <v>36.805277777777768</v>
      </c>
      <c r="AB124" s="8" t="s">
        <v>47</v>
      </c>
      <c r="AC124" s="8">
        <v>31</v>
      </c>
      <c r="AD124" s="8">
        <v>28604</v>
      </c>
      <c r="AE124" s="8">
        <v>46099</v>
      </c>
      <c r="AF124" s="8">
        <v>75</v>
      </c>
      <c r="AG124" s="8">
        <v>1</v>
      </c>
      <c r="AH124" s="8">
        <v>0.33900000000000002</v>
      </c>
      <c r="AI124" s="8">
        <v>1</v>
      </c>
      <c r="AJ124" s="8">
        <v>8</v>
      </c>
      <c r="AK124" s="8">
        <v>15</v>
      </c>
      <c r="AL124" s="8">
        <v>7</v>
      </c>
    </row>
    <row r="125" spans="1:38" x14ac:dyDescent="0.35">
      <c r="A125" s="8" t="s">
        <v>883</v>
      </c>
      <c r="B125" s="8">
        <v>310644.42140000028</v>
      </c>
      <c r="C125" s="8">
        <v>6399967.5681999996</v>
      </c>
      <c r="D125" s="8">
        <v>2323636</v>
      </c>
      <c r="E125" s="8" t="s">
        <v>884</v>
      </c>
      <c r="F125" s="8" t="s">
        <v>885</v>
      </c>
      <c r="G125" s="8">
        <v>111616</v>
      </c>
      <c r="H125" s="8">
        <v>2</v>
      </c>
      <c r="I125" s="8" t="s">
        <v>886</v>
      </c>
      <c r="J125" s="8" t="s">
        <v>887</v>
      </c>
      <c r="K125" s="8">
        <v>130219</v>
      </c>
      <c r="L125" s="8">
        <v>2</v>
      </c>
      <c r="M125" s="8">
        <v>18603</v>
      </c>
      <c r="N125" s="8" t="s">
        <v>888</v>
      </c>
      <c r="O125" s="8" t="s">
        <v>889</v>
      </c>
      <c r="P125" s="8">
        <v>141050</v>
      </c>
      <c r="Q125" s="8">
        <v>2</v>
      </c>
      <c r="R125" s="8">
        <v>29434</v>
      </c>
      <c r="S125" s="8">
        <v>0.63200000000000001</v>
      </c>
      <c r="T125" s="8">
        <v>0.14899999999999999</v>
      </c>
      <c r="U125" s="8">
        <v>9</v>
      </c>
      <c r="V125" s="8">
        <v>1</v>
      </c>
      <c r="W125" s="8">
        <v>60</v>
      </c>
      <c r="X125" s="8">
        <v>51</v>
      </c>
      <c r="Y125" s="8">
        <v>0</v>
      </c>
      <c r="Z125" s="8">
        <v>31.004444444444449</v>
      </c>
      <c r="AA125" s="8">
        <v>36.171944444444442</v>
      </c>
      <c r="AB125" s="8" t="s">
        <v>47</v>
      </c>
      <c r="AC125" s="8">
        <v>31</v>
      </c>
      <c r="AD125" s="8">
        <v>25216</v>
      </c>
      <c r="AE125" s="8">
        <v>43819</v>
      </c>
      <c r="AF125" s="8">
        <v>60</v>
      </c>
      <c r="AG125" s="8">
        <v>1</v>
      </c>
      <c r="AH125" s="8">
        <v>0.14899999999999999</v>
      </c>
      <c r="AI125" s="8">
        <v>1</v>
      </c>
      <c r="AJ125" s="8">
        <v>7</v>
      </c>
      <c r="AK125" s="8">
        <v>14</v>
      </c>
      <c r="AL125" s="8">
        <v>7</v>
      </c>
    </row>
    <row r="126" spans="1:38" x14ac:dyDescent="0.35">
      <c r="A126" s="8" t="s">
        <v>904</v>
      </c>
      <c r="B126" s="8">
        <v>317248.36199999967</v>
      </c>
      <c r="C126" s="8">
        <v>6396687.8095000004</v>
      </c>
      <c r="D126" s="8">
        <v>5907170</v>
      </c>
      <c r="E126" s="8" t="s">
        <v>905</v>
      </c>
      <c r="F126" s="8" t="s">
        <v>906</v>
      </c>
      <c r="G126" s="8">
        <v>110054</v>
      </c>
      <c r="H126" s="8">
        <v>2</v>
      </c>
      <c r="I126" s="8" t="s">
        <v>907</v>
      </c>
      <c r="J126" s="8" t="s">
        <v>908</v>
      </c>
      <c r="K126" s="8">
        <v>130299</v>
      </c>
      <c r="L126" s="8">
        <v>2</v>
      </c>
      <c r="M126" s="8">
        <v>20245</v>
      </c>
      <c r="N126" s="8" t="s">
        <v>909</v>
      </c>
      <c r="O126" s="8" t="s">
        <v>910</v>
      </c>
      <c r="P126" s="8">
        <v>134398</v>
      </c>
      <c r="Q126" s="8">
        <v>2</v>
      </c>
      <c r="R126" s="8">
        <v>24344</v>
      </c>
      <c r="S126" s="8">
        <v>0.83199999999999996</v>
      </c>
      <c r="T126" s="8">
        <v>6.5000000000000002E-2</v>
      </c>
      <c r="U126" s="8">
        <v>4</v>
      </c>
      <c r="V126" s="8">
        <v>1</v>
      </c>
      <c r="W126" s="8">
        <v>60</v>
      </c>
      <c r="X126" s="8">
        <v>56</v>
      </c>
      <c r="Y126" s="8">
        <v>0</v>
      </c>
      <c r="Z126" s="8">
        <v>30.570555555555561</v>
      </c>
      <c r="AA126" s="8">
        <v>36.194166666666661</v>
      </c>
      <c r="AB126" s="8" t="s">
        <v>47</v>
      </c>
      <c r="AC126" s="8">
        <v>30</v>
      </c>
      <c r="AD126" s="8">
        <v>23654</v>
      </c>
      <c r="AE126" s="8">
        <v>43899</v>
      </c>
      <c r="AF126" s="8">
        <v>60</v>
      </c>
      <c r="AG126" s="8">
        <v>1</v>
      </c>
      <c r="AH126" s="8">
        <v>6.5000000000000002E-2</v>
      </c>
      <c r="AI126" s="8">
        <v>1</v>
      </c>
      <c r="AJ126" s="8">
        <v>7</v>
      </c>
      <c r="AK126" s="8">
        <v>14</v>
      </c>
      <c r="AL126" s="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DBBA-03F4-4900-B01B-3EDA454CC38B}">
  <dimension ref="A1:J140"/>
  <sheetViews>
    <sheetView workbookViewId="0">
      <selection sqref="A1:J1048576"/>
    </sheetView>
  </sheetViews>
  <sheetFormatPr defaultRowHeight="14.5" x14ac:dyDescent="0.35"/>
  <cols>
    <col min="10" max="10" width="14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J1" t="s">
        <v>9</v>
      </c>
    </row>
    <row r="2" spans="1:10" x14ac:dyDescent="0.35">
      <c r="A2">
        <v>1</v>
      </c>
      <c r="B2">
        <v>10</v>
      </c>
      <c r="C2">
        <v>16</v>
      </c>
      <c r="D2">
        <v>0.1837455699700119</v>
      </c>
      <c r="E2">
        <v>0.73286223863137945</v>
      </c>
      <c r="F2">
        <v>34</v>
      </c>
      <c r="G2">
        <v>1</v>
      </c>
      <c r="I2">
        <f>C2-B2</f>
        <v>6</v>
      </c>
      <c r="J2">
        <v>1</v>
      </c>
    </row>
    <row r="3" spans="1:10" x14ac:dyDescent="0.35">
      <c r="A3">
        <v>2</v>
      </c>
      <c r="B3">
        <v>10</v>
      </c>
      <c r="C3">
        <v>12</v>
      </c>
      <c r="D3">
        <v>0.47510174118307091</v>
      </c>
      <c r="E3">
        <v>0.4861374158611082</v>
      </c>
      <c r="F3">
        <v>60</v>
      </c>
      <c r="G3">
        <v>1</v>
      </c>
      <c r="I3">
        <f t="shared" ref="I3:I66" si="0">C3-B3</f>
        <v>2</v>
      </c>
      <c r="J3">
        <v>1</v>
      </c>
    </row>
    <row r="4" spans="1:10" x14ac:dyDescent="0.35">
      <c r="A4">
        <v>3</v>
      </c>
      <c r="B4">
        <v>10</v>
      </c>
      <c r="C4">
        <v>21</v>
      </c>
      <c r="D4">
        <v>0.45</v>
      </c>
      <c r="E4">
        <v>0.78</v>
      </c>
      <c r="F4">
        <v>34</v>
      </c>
      <c r="G4">
        <v>1</v>
      </c>
      <c r="I4">
        <f t="shared" si="0"/>
        <v>11</v>
      </c>
      <c r="J4">
        <v>1</v>
      </c>
    </row>
    <row r="5" spans="1:10" x14ac:dyDescent="0.35">
      <c r="A5">
        <v>4</v>
      </c>
      <c r="B5">
        <v>7</v>
      </c>
      <c r="C5">
        <v>14</v>
      </c>
      <c r="D5">
        <v>0.18103350608643037</v>
      </c>
      <c r="E5">
        <v>0.79172128488458238</v>
      </c>
      <c r="F5">
        <v>34</v>
      </c>
      <c r="G5">
        <v>1</v>
      </c>
      <c r="I5">
        <f t="shared" si="0"/>
        <v>7</v>
      </c>
      <c r="J5">
        <v>1</v>
      </c>
    </row>
    <row r="6" spans="1:10" x14ac:dyDescent="0.35">
      <c r="A6">
        <v>5</v>
      </c>
      <c r="B6">
        <v>5</v>
      </c>
      <c r="C6">
        <v>8</v>
      </c>
      <c r="D6">
        <v>0.60256480403942836</v>
      </c>
      <c r="E6">
        <v>0.9</v>
      </c>
      <c r="F6">
        <v>75</v>
      </c>
      <c r="G6">
        <v>1</v>
      </c>
      <c r="I6">
        <f t="shared" si="0"/>
        <v>3</v>
      </c>
      <c r="J6">
        <v>1</v>
      </c>
    </row>
    <row r="7" spans="1:10" x14ac:dyDescent="0.35">
      <c r="A7">
        <v>6</v>
      </c>
      <c r="B7">
        <v>11</v>
      </c>
      <c r="C7">
        <v>23</v>
      </c>
      <c r="D7">
        <v>0.16487576942357085</v>
      </c>
      <c r="E7">
        <v>0.89198433462249338</v>
      </c>
      <c r="F7">
        <v>75</v>
      </c>
      <c r="G7">
        <v>1</v>
      </c>
      <c r="I7">
        <f t="shared" si="0"/>
        <v>12</v>
      </c>
      <c r="J7">
        <v>1</v>
      </c>
    </row>
    <row r="8" spans="1:10" x14ac:dyDescent="0.35">
      <c r="A8">
        <v>7</v>
      </c>
      <c r="B8">
        <v>18</v>
      </c>
      <c r="C8">
        <v>22</v>
      </c>
      <c r="D8">
        <v>0.48020711816055295</v>
      </c>
      <c r="E8">
        <v>0.73563609490706505</v>
      </c>
      <c r="F8">
        <v>60</v>
      </c>
      <c r="G8">
        <v>1</v>
      </c>
      <c r="I8">
        <f t="shared" si="0"/>
        <v>4</v>
      </c>
      <c r="J8">
        <v>1</v>
      </c>
    </row>
    <row r="9" spans="1:10" x14ac:dyDescent="0.35">
      <c r="A9">
        <v>8</v>
      </c>
      <c r="B9">
        <v>14</v>
      </c>
      <c r="C9">
        <v>19</v>
      </c>
      <c r="D9">
        <v>0.20632810003010774</v>
      </c>
      <c r="E9">
        <v>0.55449048761949693</v>
      </c>
      <c r="F9">
        <v>34</v>
      </c>
      <c r="G9">
        <v>1</v>
      </c>
      <c r="I9">
        <f t="shared" si="0"/>
        <v>5</v>
      </c>
      <c r="J9">
        <v>1</v>
      </c>
    </row>
    <row r="10" spans="1:10" x14ac:dyDescent="0.35">
      <c r="A10">
        <v>9</v>
      </c>
      <c r="B10">
        <v>12</v>
      </c>
      <c r="C10">
        <v>22</v>
      </c>
      <c r="D10">
        <v>0.6107232741432953</v>
      </c>
      <c r="E10">
        <v>0.95452185010510071</v>
      </c>
      <c r="F10">
        <v>42</v>
      </c>
      <c r="G10">
        <v>1</v>
      </c>
      <c r="I10">
        <f t="shared" si="0"/>
        <v>10</v>
      </c>
      <c r="J10">
        <v>1</v>
      </c>
    </row>
    <row r="11" spans="1:10" x14ac:dyDescent="0.35">
      <c r="A11">
        <v>10</v>
      </c>
      <c r="B11">
        <v>18</v>
      </c>
      <c r="C11">
        <v>23</v>
      </c>
      <c r="D11">
        <v>0.32</v>
      </c>
      <c r="E11">
        <v>0.6458069626624221</v>
      </c>
      <c r="F11">
        <v>42.462845010615723</v>
      </c>
      <c r="G11">
        <v>1</v>
      </c>
      <c r="I11">
        <f t="shared" si="0"/>
        <v>5</v>
      </c>
      <c r="J11">
        <v>1</v>
      </c>
    </row>
    <row r="12" spans="1:10" x14ac:dyDescent="0.35">
      <c r="A12">
        <v>11</v>
      </c>
      <c r="B12">
        <v>5</v>
      </c>
      <c r="C12">
        <v>16</v>
      </c>
      <c r="D12">
        <v>0.23</v>
      </c>
      <c r="E12">
        <v>0.50393319441382167</v>
      </c>
      <c r="F12">
        <v>34</v>
      </c>
      <c r="G12">
        <v>1</v>
      </c>
      <c r="I12">
        <f t="shared" si="0"/>
        <v>11</v>
      </c>
      <c r="J12">
        <v>1</v>
      </c>
    </row>
    <row r="13" spans="1:10" x14ac:dyDescent="0.35">
      <c r="A13">
        <v>12</v>
      </c>
      <c r="B13">
        <v>18</v>
      </c>
      <c r="C13">
        <v>21</v>
      </c>
      <c r="D13">
        <v>0.16961173878048286</v>
      </c>
      <c r="E13">
        <v>0.57613043090528615</v>
      </c>
      <c r="F13">
        <v>42</v>
      </c>
      <c r="G13">
        <v>1</v>
      </c>
      <c r="I13">
        <f t="shared" si="0"/>
        <v>3</v>
      </c>
      <c r="J13">
        <v>1</v>
      </c>
    </row>
    <row r="14" spans="1:10" x14ac:dyDescent="0.35">
      <c r="A14">
        <v>13</v>
      </c>
      <c r="B14">
        <v>7</v>
      </c>
      <c r="C14">
        <v>16</v>
      </c>
      <c r="D14">
        <v>0.36</v>
      </c>
      <c r="E14">
        <v>0.41713930324034298</v>
      </c>
      <c r="F14">
        <v>52</v>
      </c>
      <c r="G14">
        <v>1</v>
      </c>
      <c r="I14">
        <f t="shared" si="0"/>
        <v>9</v>
      </c>
      <c r="J14">
        <v>1</v>
      </c>
    </row>
    <row r="15" spans="1:10" x14ac:dyDescent="0.35">
      <c r="A15">
        <v>14</v>
      </c>
      <c r="B15">
        <v>6</v>
      </c>
      <c r="C15">
        <v>15</v>
      </c>
      <c r="D15">
        <v>0.15</v>
      </c>
      <c r="E15">
        <v>0.49932890245055256</v>
      </c>
      <c r="F15">
        <v>60.324825986078878</v>
      </c>
      <c r="G15">
        <v>1</v>
      </c>
      <c r="I15">
        <f t="shared" si="0"/>
        <v>9</v>
      </c>
      <c r="J15">
        <v>1</v>
      </c>
    </row>
    <row r="16" spans="1:10" x14ac:dyDescent="0.35">
      <c r="A16">
        <v>15</v>
      </c>
      <c r="B16">
        <v>11</v>
      </c>
      <c r="C16">
        <v>21</v>
      </c>
      <c r="D16">
        <v>0.44528640090258165</v>
      </c>
      <c r="E16">
        <v>0.91412765474263857</v>
      </c>
      <c r="F16">
        <v>60</v>
      </c>
      <c r="G16">
        <v>1</v>
      </c>
      <c r="I16">
        <f t="shared" si="0"/>
        <v>10</v>
      </c>
      <c r="J16">
        <v>1</v>
      </c>
    </row>
    <row r="17" spans="1:10" x14ac:dyDescent="0.35">
      <c r="A17">
        <v>16</v>
      </c>
      <c r="B17">
        <v>19</v>
      </c>
      <c r="C17">
        <v>22</v>
      </c>
      <c r="D17">
        <v>0.67852094724481149</v>
      </c>
      <c r="E17">
        <v>0.85289162535515728</v>
      </c>
      <c r="F17">
        <v>34</v>
      </c>
      <c r="G17">
        <v>1</v>
      </c>
      <c r="I17">
        <f t="shared" si="0"/>
        <v>3</v>
      </c>
      <c r="J17">
        <v>1</v>
      </c>
    </row>
    <row r="18" spans="1:10" x14ac:dyDescent="0.35">
      <c r="A18">
        <v>17</v>
      </c>
      <c r="B18">
        <v>11</v>
      </c>
      <c r="C18">
        <v>19</v>
      </c>
      <c r="D18">
        <v>0.45176725295178177</v>
      </c>
      <c r="E18">
        <v>0.82132360594642706</v>
      </c>
      <c r="F18">
        <v>34</v>
      </c>
      <c r="G18">
        <v>1</v>
      </c>
      <c r="I18">
        <f t="shared" si="0"/>
        <v>8</v>
      </c>
      <c r="J18">
        <v>1</v>
      </c>
    </row>
    <row r="19" spans="1:10" x14ac:dyDescent="0.35">
      <c r="A19">
        <v>18</v>
      </c>
      <c r="B19">
        <v>20</v>
      </c>
      <c r="C19">
        <v>23</v>
      </c>
      <c r="D19">
        <v>0.60682234036799843</v>
      </c>
      <c r="E19">
        <v>0.91489159136574139</v>
      </c>
      <c r="F19">
        <v>60</v>
      </c>
      <c r="G19">
        <v>1</v>
      </c>
      <c r="I19">
        <f t="shared" si="0"/>
        <v>3</v>
      </c>
      <c r="J19">
        <v>1</v>
      </c>
    </row>
    <row r="20" spans="1:10" x14ac:dyDescent="0.35">
      <c r="A20">
        <v>19</v>
      </c>
      <c r="B20">
        <v>17</v>
      </c>
      <c r="C20">
        <v>18</v>
      </c>
      <c r="D20">
        <v>0.3001133473590486</v>
      </c>
      <c r="E20">
        <v>0.58523685889203225</v>
      </c>
      <c r="F20">
        <v>60</v>
      </c>
      <c r="G20">
        <v>1</v>
      </c>
      <c r="I20">
        <f t="shared" si="0"/>
        <v>1</v>
      </c>
      <c r="J20">
        <v>1</v>
      </c>
    </row>
    <row r="21" spans="1:10" x14ac:dyDescent="0.35">
      <c r="A21">
        <v>20</v>
      </c>
      <c r="B21">
        <v>11</v>
      </c>
      <c r="C21">
        <v>19</v>
      </c>
      <c r="D21">
        <v>0.59847028015819859</v>
      </c>
      <c r="E21">
        <v>0.69931480266724089</v>
      </c>
      <c r="F21">
        <v>52</v>
      </c>
      <c r="G21">
        <v>1</v>
      </c>
      <c r="I21">
        <f t="shared" si="0"/>
        <v>8</v>
      </c>
      <c r="J21">
        <v>1</v>
      </c>
    </row>
    <row r="22" spans="1:10" x14ac:dyDescent="0.35">
      <c r="A22">
        <v>21</v>
      </c>
      <c r="B22">
        <v>12</v>
      </c>
      <c r="C22">
        <v>20</v>
      </c>
      <c r="D22">
        <v>0.22163069234052929</v>
      </c>
      <c r="E22">
        <v>0.52209439529776991</v>
      </c>
      <c r="F22">
        <v>52</v>
      </c>
      <c r="G22">
        <v>1</v>
      </c>
      <c r="I22">
        <f t="shared" si="0"/>
        <v>8</v>
      </c>
      <c r="J22">
        <v>1</v>
      </c>
    </row>
    <row r="23" spans="1:10" x14ac:dyDescent="0.35">
      <c r="A23">
        <v>22</v>
      </c>
      <c r="B23">
        <v>17</v>
      </c>
      <c r="C23">
        <v>23</v>
      </c>
      <c r="D23">
        <v>0.50936231000384891</v>
      </c>
      <c r="E23">
        <v>0.68585164879654714</v>
      </c>
      <c r="F23">
        <v>52</v>
      </c>
      <c r="G23">
        <v>1</v>
      </c>
      <c r="I23">
        <f t="shared" si="0"/>
        <v>6</v>
      </c>
      <c r="J23">
        <v>1</v>
      </c>
    </row>
    <row r="24" spans="1:10" x14ac:dyDescent="0.35">
      <c r="A24">
        <v>23</v>
      </c>
      <c r="B24">
        <v>16</v>
      </c>
      <c r="C24">
        <v>23</v>
      </c>
      <c r="D24">
        <v>0.68849653389644205</v>
      </c>
      <c r="E24">
        <v>0.9466794556547099</v>
      </c>
      <c r="F24">
        <v>60</v>
      </c>
      <c r="G24">
        <v>1</v>
      </c>
      <c r="I24">
        <f t="shared" si="0"/>
        <v>7</v>
      </c>
      <c r="J24">
        <v>1</v>
      </c>
    </row>
    <row r="25" spans="1:10" x14ac:dyDescent="0.35">
      <c r="A25">
        <v>24</v>
      </c>
      <c r="B25">
        <v>6</v>
      </c>
      <c r="C25">
        <v>22</v>
      </c>
      <c r="D25">
        <v>0.41005307776891609</v>
      </c>
      <c r="E25">
        <v>0.57760098240656776</v>
      </c>
      <c r="F25">
        <v>75</v>
      </c>
      <c r="G25">
        <v>1</v>
      </c>
      <c r="I25">
        <f t="shared" si="0"/>
        <v>16</v>
      </c>
      <c r="J25">
        <v>1</v>
      </c>
    </row>
    <row r="26" spans="1:10" x14ac:dyDescent="0.35">
      <c r="A26">
        <v>25</v>
      </c>
      <c r="B26">
        <v>7</v>
      </c>
      <c r="C26">
        <v>16</v>
      </c>
      <c r="D26">
        <v>0.42073265949769734</v>
      </c>
      <c r="E26">
        <v>0.96294865181015932</v>
      </c>
      <c r="F26">
        <v>52</v>
      </c>
      <c r="G26">
        <v>1</v>
      </c>
      <c r="I26">
        <f t="shared" si="0"/>
        <v>9</v>
      </c>
      <c r="J26">
        <v>1</v>
      </c>
    </row>
    <row r="27" spans="1:10" x14ac:dyDescent="0.35">
      <c r="A27">
        <v>26</v>
      </c>
      <c r="B27">
        <v>18</v>
      </c>
      <c r="C27">
        <v>23</v>
      </c>
      <c r="D27">
        <v>0.54110122605171684</v>
      </c>
      <c r="E27">
        <v>0.68068798714352863</v>
      </c>
      <c r="F27">
        <v>42</v>
      </c>
      <c r="G27">
        <v>1</v>
      </c>
      <c r="I27">
        <f t="shared" si="0"/>
        <v>5</v>
      </c>
      <c r="J27">
        <v>1</v>
      </c>
    </row>
    <row r="28" spans="1:10" x14ac:dyDescent="0.35">
      <c r="A28">
        <v>27</v>
      </c>
      <c r="B28">
        <v>13</v>
      </c>
      <c r="C28">
        <v>14</v>
      </c>
      <c r="D28">
        <v>0.35480211167614684</v>
      </c>
      <c r="E28">
        <v>0.42223188988459831</v>
      </c>
      <c r="F28">
        <v>52</v>
      </c>
      <c r="G28">
        <v>1</v>
      </c>
      <c r="I28">
        <f t="shared" si="0"/>
        <v>1</v>
      </c>
      <c r="J28">
        <v>1</v>
      </c>
    </row>
    <row r="29" spans="1:10" x14ac:dyDescent="0.35">
      <c r="A29">
        <v>28</v>
      </c>
      <c r="B29">
        <v>6</v>
      </c>
      <c r="C29">
        <v>19</v>
      </c>
      <c r="D29">
        <v>0.19027912887436385</v>
      </c>
      <c r="E29">
        <v>0.99870045876380165</v>
      </c>
      <c r="F29">
        <v>75</v>
      </c>
      <c r="G29">
        <v>1</v>
      </c>
      <c r="I29">
        <f t="shared" si="0"/>
        <v>13</v>
      </c>
      <c r="J29">
        <v>1</v>
      </c>
    </row>
    <row r="30" spans="1:10" x14ac:dyDescent="0.35">
      <c r="A30">
        <v>29</v>
      </c>
      <c r="B30">
        <v>6</v>
      </c>
      <c r="C30">
        <v>16</v>
      </c>
      <c r="D30">
        <v>0.37002979825251925</v>
      </c>
      <c r="E30">
        <v>0.54257754404555547</v>
      </c>
      <c r="F30">
        <v>34</v>
      </c>
      <c r="G30">
        <v>1</v>
      </c>
      <c r="I30">
        <f t="shared" si="0"/>
        <v>10</v>
      </c>
      <c r="J30">
        <v>1</v>
      </c>
    </row>
    <row r="31" spans="1:10" x14ac:dyDescent="0.35">
      <c r="A31">
        <v>30</v>
      </c>
      <c r="B31">
        <v>15</v>
      </c>
      <c r="C31">
        <v>23</v>
      </c>
      <c r="D31">
        <v>0.13964447982484526</v>
      </c>
      <c r="E31">
        <v>0.70777592407675582</v>
      </c>
      <c r="F31">
        <v>60</v>
      </c>
      <c r="G31">
        <v>1</v>
      </c>
      <c r="I31">
        <f t="shared" si="0"/>
        <v>8</v>
      </c>
      <c r="J31">
        <v>1</v>
      </c>
    </row>
    <row r="32" spans="1:10" x14ac:dyDescent="0.35">
      <c r="A32">
        <v>31</v>
      </c>
      <c r="B32">
        <v>8</v>
      </c>
      <c r="C32">
        <v>16</v>
      </c>
      <c r="D32">
        <v>0.43983691350249288</v>
      </c>
      <c r="E32">
        <v>0.77026619713915145</v>
      </c>
      <c r="F32">
        <v>60</v>
      </c>
      <c r="G32">
        <v>1</v>
      </c>
      <c r="I32">
        <f t="shared" si="0"/>
        <v>8</v>
      </c>
      <c r="J32">
        <v>1</v>
      </c>
    </row>
    <row r="33" spans="1:10" x14ac:dyDescent="0.35">
      <c r="A33">
        <v>32</v>
      </c>
      <c r="B33">
        <v>11</v>
      </c>
      <c r="C33">
        <v>17</v>
      </c>
      <c r="D33">
        <v>0.28477054990855699</v>
      </c>
      <c r="E33">
        <v>0.80090705579414356</v>
      </c>
      <c r="F33">
        <v>52</v>
      </c>
      <c r="G33">
        <v>1</v>
      </c>
      <c r="I33">
        <f t="shared" si="0"/>
        <v>6</v>
      </c>
      <c r="J33">
        <v>1</v>
      </c>
    </row>
    <row r="34" spans="1:10" x14ac:dyDescent="0.35">
      <c r="A34">
        <v>33</v>
      </c>
      <c r="B34">
        <v>7</v>
      </c>
      <c r="C34">
        <v>17</v>
      </c>
      <c r="D34">
        <v>0.68452565816941691</v>
      </c>
      <c r="E34">
        <v>0.95717625515837479</v>
      </c>
      <c r="F34">
        <v>42</v>
      </c>
      <c r="G34">
        <v>1</v>
      </c>
      <c r="I34">
        <f t="shared" si="0"/>
        <v>10</v>
      </c>
      <c r="J34">
        <v>1</v>
      </c>
    </row>
    <row r="35" spans="1:10" x14ac:dyDescent="0.35">
      <c r="A35">
        <v>34</v>
      </c>
      <c r="B35">
        <v>4</v>
      </c>
      <c r="C35">
        <v>15</v>
      </c>
      <c r="D35">
        <v>0.23960062981115451</v>
      </c>
      <c r="E35">
        <v>0.61948684496131179</v>
      </c>
      <c r="F35">
        <v>42</v>
      </c>
      <c r="G35">
        <v>1</v>
      </c>
      <c r="I35">
        <f t="shared" si="0"/>
        <v>11</v>
      </c>
      <c r="J35">
        <v>1</v>
      </c>
    </row>
    <row r="36" spans="1:10" x14ac:dyDescent="0.35">
      <c r="A36">
        <v>35</v>
      </c>
      <c r="B36">
        <v>16</v>
      </c>
      <c r="C36">
        <v>23</v>
      </c>
      <c r="D36">
        <v>0.45864987703025029</v>
      </c>
      <c r="E36">
        <v>0.76390268286980323</v>
      </c>
      <c r="F36">
        <v>52</v>
      </c>
      <c r="G36">
        <v>1</v>
      </c>
      <c r="I36">
        <f t="shared" si="0"/>
        <v>7</v>
      </c>
      <c r="J36">
        <v>1</v>
      </c>
    </row>
    <row r="37" spans="1:10" x14ac:dyDescent="0.35">
      <c r="A37">
        <v>36</v>
      </c>
      <c r="B37">
        <v>15</v>
      </c>
      <c r="C37">
        <v>20</v>
      </c>
      <c r="D37">
        <v>0.48760881088381447</v>
      </c>
      <c r="E37">
        <v>0.80674581355137809</v>
      </c>
      <c r="F37">
        <v>75</v>
      </c>
      <c r="G37">
        <v>1</v>
      </c>
      <c r="I37">
        <f t="shared" si="0"/>
        <v>5</v>
      </c>
      <c r="J37">
        <v>1</v>
      </c>
    </row>
    <row r="38" spans="1:10" x14ac:dyDescent="0.35">
      <c r="A38">
        <v>37</v>
      </c>
      <c r="B38">
        <v>12</v>
      </c>
      <c r="C38">
        <v>20</v>
      </c>
      <c r="D38">
        <v>0.18512612196044903</v>
      </c>
      <c r="E38">
        <v>0.82453364469602275</v>
      </c>
      <c r="F38">
        <v>60</v>
      </c>
      <c r="G38">
        <v>1</v>
      </c>
      <c r="I38">
        <f t="shared" si="0"/>
        <v>8</v>
      </c>
      <c r="J38">
        <v>1</v>
      </c>
    </row>
    <row r="39" spans="1:10" x14ac:dyDescent="0.35">
      <c r="A39">
        <v>38</v>
      </c>
      <c r="B39">
        <v>15</v>
      </c>
      <c r="C39">
        <v>21</v>
      </c>
      <c r="D39">
        <v>0.22</v>
      </c>
      <c r="E39">
        <v>0.4144843320820088</v>
      </c>
      <c r="F39">
        <v>60</v>
      </c>
      <c r="G39">
        <v>1</v>
      </c>
      <c r="I39">
        <f t="shared" si="0"/>
        <v>6</v>
      </c>
      <c r="J39">
        <v>1</v>
      </c>
    </row>
    <row r="40" spans="1:10" x14ac:dyDescent="0.35">
      <c r="A40">
        <v>39</v>
      </c>
      <c r="B40">
        <v>14</v>
      </c>
      <c r="C40">
        <v>20</v>
      </c>
      <c r="D40">
        <v>0.3274306633865201</v>
      </c>
      <c r="E40">
        <v>0.91896802336323913</v>
      </c>
      <c r="F40">
        <v>42</v>
      </c>
      <c r="G40">
        <v>1</v>
      </c>
      <c r="I40">
        <f t="shared" si="0"/>
        <v>6</v>
      </c>
      <c r="J40">
        <v>1</v>
      </c>
    </row>
    <row r="41" spans="1:10" x14ac:dyDescent="0.35">
      <c r="A41">
        <v>40</v>
      </c>
      <c r="B41">
        <v>5</v>
      </c>
      <c r="C41">
        <v>10</v>
      </c>
      <c r="D41">
        <v>0.15</v>
      </c>
      <c r="E41">
        <v>0.72</v>
      </c>
      <c r="F41">
        <v>52</v>
      </c>
      <c r="G41">
        <v>1</v>
      </c>
      <c r="I41">
        <f t="shared" si="0"/>
        <v>5</v>
      </c>
      <c r="J41">
        <v>2</v>
      </c>
    </row>
    <row r="42" spans="1:10" x14ac:dyDescent="0.35">
      <c r="A42">
        <v>41</v>
      </c>
      <c r="B42">
        <v>8</v>
      </c>
      <c r="C42">
        <v>14</v>
      </c>
      <c r="D42">
        <v>0.25</v>
      </c>
      <c r="E42">
        <v>0.68</v>
      </c>
      <c r="F42">
        <v>60</v>
      </c>
      <c r="G42">
        <v>1</v>
      </c>
      <c r="I42">
        <f t="shared" si="0"/>
        <v>6</v>
      </c>
      <c r="J42">
        <v>2</v>
      </c>
    </row>
    <row r="43" spans="1:10" x14ac:dyDescent="0.35">
      <c r="A43">
        <v>42</v>
      </c>
      <c r="B43">
        <v>10</v>
      </c>
      <c r="C43">
        <v>18</v>
      </c>
      <c r="D43">
        <v>0.3</v>
      </c>
      <c r="E43">
        <v>0.85</v>
      </c>
      <c r="F43">
        <v>42</v>
      </c>
      <c r="G43">
        <v>1</v>
      </c>
      <c r="I43">
        <f t="shared" si="0"/>
        <v>8</v>
      </c>
      <c r="J43">
        <v>2</v>
      </c>
    </row>
    <row r="44" spans="1:10" x14ac:dyDescent="0.35">
      <c r="A44">
        <v>43</v>
      </c>
      <c r="B44">
        <v>6</v>
      </c>
      <c r="C44">
        <v>12</v>
      </c>
      <c r="D44">
        <v>0.2</v>
      </c>
      <c r="E44">
        <v>0.65</v>
      </c>
      <c r="F44">
        <v>60</v>
      </c>
      <c r="G44">
        <v>1</v>
      </c>
      <c r="I44">
        <f t="shared" si="0"/>
        <v>6</v>
      </c>
      <c r="J44">
        <v>2</v>
      </c>
    </row>
    <row r="45" spans="1:10" x14ac:dyDescent="0.35">
      <c r="A45">
        <v>44</v>
      </c>
      <c r="B45">
        <v>9</v>
      </c>
      <c r="C45">
        <v>16</v>
      </c>
      <c r="D45">
        <v>0.35</v>
      </c>
      <c r="E45">
        <v>0.78</v>
      </c>
      <c r="F45">
        <v>52</v>
      </c>
      <c r="G45">
        <v>1</v>
      </c>
      <c r="I45">
        <f t="shared" si="0"/>
        <v>7</v>
      </c>
      <c r="J45">
        <v>2</v>
      </c>
    </row>
    <row r="46" spans="1:10" x14ac:dyDescent="0.35">
      <c r="A46">
        <v>45</v>
      </c>
      <c r="B46">
        <v>7</v>
      </c>
      <c r="C46">
        <v>15</v>
      </c>
      <c r="D46">
        <v>0.18</v>
      </c>
      <c r="E46">
        <v>0.82</v>
      </c>
      <c r="F46">
        <v>34</v>
      </c>
      <c r="G46">
        <v>1</v>
      </c>
      <c r="I46">
        <f t="shared" si="0"/>
        <v>8</v>
      </c>
      <c r="J46">
        <v>2</v>
      </c>
    </row>
    <row r="47" spans="1:10" x14ac:dyDescent="0.35">
      <c r="A47">
        <v>46</v>
      </c>
      <c r="B47">
        <v>11</v>
      </c>
      <c r="C47">
        <v>20</v>
      </c>
      <c r="D47">
        <v>0.4</v>
      </c>
      <c r="E47">
        <v>0.9</v>
      </c>
      <c r="F47">
        <v>42</v>
      </c>
      <c r="G47">
        <v>1</v>
      </c>
      <c r="I47">
        <f t="shared" si="0"/>
        <v>9</v>
      </c>
      <c r="J47">
        <v>2</v>
      </c>
    </row>
    <row r="48" spans="1:10" x14ac:dyDescent="0.35">
      <c r="A48">
        <v>47</v>
      </c>
      <c r="B48">
        <v>4</v>
      </c>
      <c r="C48">
        <v>9</v>
      </c>
      <c r="D48">
        <v>0.12</v>
      </c>
      <c r="E48">
        <v>0.55000000000000004</v>
      </c>
      <c r="F48">
        <v>75</v>
      </c>
      <c r="G48">
        <v>1</v>
      </c>
      <c r="I48">
        <f t="shared" si="0"/>
        <v>5</v>
      </c>
      <c r="J48">
        <v>2</v>
      </c>
    </row>
    <row r="49" spans="1:10" x14ac:dyDescent="0.35">
      <c r="A49">
        <v>48</v>
      </c>
      <c r="B49">
        <v>13</v>
      </c>
      <c r="C49">
        <v>19</v>
      </c>
      <c r="D49">
        <v>0.45</v>
      </c>
      <c r="E49">
        <v>0.88</v>
      </c>
      <c r="F49">
        <v>52</v>
      </c>
      <c r="G49">
        <v>1</v>
      </c>
      <c r="I49">
        <f t="shared" si="0"/>
        <v>6</v>
      </c>
      <c r="J49">
        <v>2</v>
      </c>
    </row>
    <row r="50" spans="1:10" x14ac:dyDescent="0.35">
      <c r="A50">
        <v>49</v>
      </c>
      <c r="B50">
        <v>5</v>
      </c>
      <c r="C50">
        <v>11</v>
      </c>
      <c r="D50">
        <v>0.22</v>
      </c>
      <c r="E50">
        <v>0.7</v>
      </c>
      <c r="F50">
        <v>75</v>
      </c>
      <c r="G50">
        <v>1</v>
      </c>
      <c r="I50">
        <f t="shared" si="0"/>
        <v>6</v>
      </c>
      <c r="J50">
        <v>2</v>
      </c>
    </row>
    <row r="51" spans="1:10" x14ac:dyDescent="0.35">
      <c r="A51">
        <v>50</v>
      </c>
      <c r="B51">
        <v>10</v>
      </c>
      <c r="C51">
        <v>17</v>
      </c>
      <c r="D51">
        <v>0.28000000000000003</v>
      </c>
      <c r="E51">
        <v>0.75</v>
      </c>
      <c r="F51">
        <v>34</v>
      </c>
      <c r="G51">
        <v>1</v>
      </c>
      <c r="I51">
        <f t="shared" si="0"/>
        <v>7</v>
      </c>
      <c r="J51">
        <v>2</v>
      </c>
    </row>
    <row r="52" spans="1:10" x14ac:dyDescent="0.35">
      <c r="A52">
        <v>51</v>
      </c>
      <c r="B52">
        <v>6</v>
      </c>
      <c r="C52">
        <v>13</v>
      </c>
      <c r="D52">
        <v>0.17</v>
      </c>
      <c r="E52">
        <v>0.6</v>
      </c>
      <c r="F52">
        <v>34</v>
      </c>
      <c r="G52">
        <v>1</v>
      </c>
      <c r="I52">
        <f t="shared" si="0"/>
        <v>7</v>
      </c>
      <c r="J52">
        <v>2</v>
      </c>
    </row>
    <row r="53" spans="1:10" x14ac:dyDescent="0.35">
      <c r="A53">
        <v>52</v>
      </c>
      <c r="B53">
        <v>8</v>
      </c>
      <c r="C53">
        <v>16</v>
      </c>
      <c r="D53">
        <v>0.32</v>
      </c>
      <c r="E53">
        <v>0.8</v>
      </c>
      <c r="F53">
        <v>34</v>
      </c>
      <c r="G53">
        <v>1</v>
      </c>
      <c r="I53">
        <f t="shared" si="0"/>
        <v>8</v>
      </c>
      <c r="J53">
        <v>2</v>
      </c>
    </row>
    <row r="54" spans="1:10" x14ac:dyDescent="0.35">
      <c r="A54">
        <v>53</v>
      </c>
      <c r="B54">
        <v>12</v>
      </c>
      <c r="C54">
        <v>21</v>
      </c>
      <c r="D54">
        <v>0.5</v>
      </c>
      <c r="E54">
        <v>0.92</v>
      </c>
      <c r="F54">
        <v>75</v>
      </c>
      <c r="G54">
        <v>1</v>
      </c>
      <c r="I54">
        <f t="shared" si="0"/>
        <v>9</v>
      </c>
      <c r="J54">
        <v>2</v>
      </c>
    </row>
    <row r="55" spans="1:10" x14ac:dyDescent="0.35">
      <c r="A55">
        <v>54</v>
      </c>
      <c r="B55">
        <v>7</v>
      </c>
      <c r="C55">
        <v>14</v>
      </c>
      <c r="D55">
        <v>0.24</v>
      </c>
      <c r="E55">
        <v>0.67</v>
      </c>
      <c r="F55">
        <v>75</v>
      </c>
      <c r="G55">
        <v>1</v>
      </c>
      <c r="I55">
        <f t="shared" si="0"/>
        <v>7</v>
      </c>
      <c r="J55">
        <v>2</v>
      </c>
    </row>
    <row r="56" spans="1:10" x14ac:dyDescent="0.35">
      <c r="A56">
        <v>55</v>
      </c>
      <c r="B56">
        <v>9</v>
      </c>
      <c r="C56">
        <v>18</v>
      </c>
      <c r="D56">
        <v>0.38</v>
      </c>
      <c r="E56">
        <v>0.84</v>
      </c>
      <c r="F56">
        <v>42</v>
      </c>
      <c r="G56">
        <v>1</v>
      </c>
      <c r="I56">
        <f t="shared" si="0"/>
        <v>9</v>
      </c>
      <c r="J56">
        <v>2</v>
      </c>
    </row>
    <row r="57" spans="1:10" x14ac:dyDescent="0.35">
      <c r="A57">
        <v>56</v>
      </c>
      <c r="B57">
        <v>11</v>
      </c>
      <c r="C57">
        <v>22</v>
      </c>
      <c r="D57">
        <v>0.42</v>
      </c>
      <c r="E57">
        <v>0.95</v>
      </c>
      <c r="F57">
        <v>52</v>
      </c>
      <c r="G57">
        <v>1</v>
      </c>
      <c r="I57">
        <f t="shared" si="0"/>
        <v>11</v>
      </c>
      <c r="J57">
        <v>2</v>
      </c>
    </row>
    <row r="58" spans="1:10" x14ac:dyDescent="0.35">
      <c r="A58">
        <v>57</v>
      </c>
      <c r="B58">
        <v>3</v>
      </c>
      <c r="C58">
        <v>8</v>
      </c>
      <c r="D58">
        <v>0.1</v>
      </c>
      <c r="E58">
        <v>0.48</v>
      </c>
      <c r="F58">
        <v>34</v>
      </c>
      <c r="G58">
        <v>1</v>
      </c>
      <c r="I58">
        <f t="shared" si="0"/>
        <v>5</v>
      </c>
      <c r="J58">
        <v>2</v>
      </c>
    </row>
    <row r="59" spans="1:10" x14ac:dyDescent="0.35">
      <c r="A59">
        <v>58</v>
      </c>
      <c r="B59">
        <v>14</v>
      </c>
      <c r="C59">
        <v>23</v>
      </c>
      <c r="D59">
        <v>0.55000000000000004</v>
      </c>
      <c r="E59">
        <v>0.98</v>
      </c>
      <c r="F59">
        <v>42</v>
      </c>
      <c r="G59">
        <v>1</v>
      </c>
      <c r="I59">
        <f t="shared" si="0"/>
        <v>9</v>
      </c>
      <c r="J59">
        <v>2</v>
      </c>
    </row>
    <row r="60" spans="1:10" x14ac:dyDescent="0.35">
      <c r="A60">
        <v>59</v>
      </c>
      <c r="B60">
        <v>5</v>
      </c>
      <c r="C60">
        <v>12</v>
      </c>
      <c r="D60">
        <v>0.19</v>
      </c>
      <c r="E60">
        <v>0.63</v>
      </c>
      <c r="F60">
        <v>42</v>
      </c>
      <c r="G60">
        <v>1</v>
      </c>
      <c r="I60">
        <f t="shared" si="0"/>
        <v>7</v>
      </c>
      <c r="J60">
        <v>2</v>
      </c>
    </row>
    <row r="61" spans="1:10" x14ac:dyDescent="0.35">
      <c r="A61">
        <v>60</v>
      </c>
      <c r="B61">
        <v>10</v>
      </c>
      <c r="C61">
        <v>19</v>
      </c>
      <c r="D61">
        <v>0.33</v>
      </c>
      <c r="E61">
        <v>0.87</v>
      </c>
      <c r="F61">
        <v>52</v>
      </c>
      <c r="G61">
        <v>1</v>
      </c>
      <c r="I61">
        <f t="shared" si="0"/>
        <v>9</v>
      </c>
      <c r="J61">
        <v>2</v>
      </c>
    </row>
    <row r="62" spans="1:10" x14ac:dyDescent="0.35">
      <c r="A62">
        <v>61</v>
      </c>
      <c r="B62">
        <v>6</v>
      </c>
      <c r="C62">
        <v>15</v>
      </c>
      <c r="D62">
        <v>0.21</v>
      </c>
      <c r="E62">
        <v>0.72</v>
      </c>
      <c r="F62">
        <v>34</v>
      </c>
      <c r="G62">
        <v>1</v>
      </c>
      <c r="I62">
        <f t="shared" si="0"/>
        <v>9</v>
      </c>
      <c r="J62">
        <v>2</v>
      </c>
    </row>
    <row r="63" spans="1:10" x14ac:dyDescent="0.35">
      <c r="A63">
        <v>62</v>
      </c>
      <c r="B63">
        <v>8</v>
      </c>
      <c r="C63">
        <v>17</v>
      </c>
      <c r="D63">
        <v>0.27</v>
      </c>
      <c r="E63">
        <v>0.77</v>
      </c>
      <c r="F63">
        <v>52.516411378555787</v>
      </c>
      <c r="G63">
        <v>1</v>
      </c>
      <c r="I63">
        <f t="shared" si="0"/>
        <v>9</v>
      </c>
      <c r="J63">
        <v>2</v>
      </c>
    </row>
    <row r="64" spans="1:10" x14ac:dyDescent="0.35">
      <c r="A64">
        <v>63</v>
      </c>
      <c r="B64">
        <v>12</v>
      </c>
      <c r="C64">
        <v>20</v>
      </c>
      <c r="D64">
        <v>0.47</v>
      </c>
      <c r="E64">
        <v>0.89</v>
      </c>
      <c r="F64">
        <v>34</v>
      </c>
      <c r="G64">
        <v>1</v>
      </c>
      <c r="I64">
        <f t="shared" si="0"/>
        <v>8</v>
      </c>
      <c r="J64">
        <v>2</v>
      </c>
    </row>
    <row r="65" spans="1:10" x14ac:dyDescent="0.35">
      <c r="A65">
        <v>64</v>
      </c>
      <c r="B65">
        <v>7</v>
      </c>
      <c r="C65">
        <v>16</v>
      </c>
      <c r="D65">
        <v>0.26</v>
      </c>
      <c r="E65">
        <v>0.74</v>
      </c>
      <c r="F65">
        <v>34</v>
      </c>
      <c r="G65">
        <v>1</v>
      </c>
      <c r="I65">
        <f t="shared" si="0"/>
        <v>9</v>
      </c>
      <c r="J65">
        <v>2</v>
      </c>
    </row>
    <row r="66" spans="1:10" x14ac:dyDescent="0.35">
      <c r="A66">
        <v>65</v>
      </c>
      <c r="B66">
        <v>9</v>
      </c>
      <c r="C66">
        <v>21</v>
      </c>
      <c r="D66">
        <v>0.36</v>
      </c>
      <c r="E66">
        <v>0.83</v>
      </c>
      <c r="F66">
        <v>52</v>
      </c>
      <c r="G66">
        <v>1</v>
      </c>
      <c r="I66">
        <f t="shared" si="0"/>
        <v>12</v>
      </c>
      <c r="J66">
        <v>2</v>
      </c>
    </row>
    <row r="67" spans="1:10" x14ac:dyDescent="0.35">
      <c r="A67">
        <v>66</v>
      </c>
      <c r="B67">
        <v>11</v>
      </c>
      <c r="C67">
        <v>23</v>
      </c>
      <c r="D67">
        <v>0.44</v>
      </c>
      <c r="E67">
        <v>0.96</v>
      </c>
      <c r="F67">
        <v>52</v>
      </c>
      <c r="G67">
        <v>1</v>
      </c>
      <c r="I67">
        <f t="shared" ref="I67:I130" si="1">C67-B67</f>
        <v>12</v>
      </c>
      <c r="J67">
        <v>2</v>
      </c>
    </row>
    <row r="68" spans="1:10" x14ac:dyDescent="0.35">
      <c r="A68">
        <v>67</v>
      </c>
      <c r="B68">
        <v>4</v>
      </c>
      <c r="C68">
        <v>10</v>
      </c>
      <c r="D68">
        <v>0.14000000000000001</v>
      </c>
      <c r="E68">
        <v>0.57999999999999996</v>
      </c>
      <c r="F68">
        <v>42.084168336673343</v>
      </c>
      <c r="G68">
        <v>1</v>
      </c>
      <c r="I68">
        <f t="shared" si="1"/>
        <v>6</v>
      </c>
      <c r="J68">
        <v>2</v>
      </c>
    </row>
    <row r="69" spans="1:10" x14ac:dyDescent="0.35">
      <c r="A69">
        <v>68</v>
      </c>
      <c r="B69">
        <v>13</v>
      </c>
      <c r="C69">
        <v>18</v>
      </c>
      <c r="D69">
        <v>0.52</v>
      </c>
      <c r="E69">
        <v>0.91</v>
      </c>
      <c r="F69">
        <v>42</v>
      </c>
      <c r="G69">
        <v>1</v>
      </c>
      <c r="I69">
        <f t="shared" si="1"/>
        <v>5</v>
      </c>
      <c r="J69">
        <v>2</v>
      </c>
    </row>
    <row r="70" spans="1:10" x14ac:dyDescent="0.35">
      <c r="A70">
        <v>69</v>
      </c>
      <c r="B70">
        <v>5</v>
      </c>
      <c r="C70">
        <v>13</v>
      </c>
      <c r="D70">
        <v>0.16</v>
      </c>
      <c r="E70">
        <v>0.66</v>
      </c>
      <c r="F70">
        <v>75</v>
      </c>
      <c r="G70">
        <v>1</v>
      </c>
      <c r="I70">
        <f t="shared" si="1"/>
        <v>8</v>
      </c>
      <c r="J70">
        <v>2</v>
      </c>
    </row>
    <row r="71" spans="1:10" x14ac:dyDescent="0.35">
      <c r="A71">
        <v>70</v>
      </c>
      <c r="B71">
        <v>10</v>
      </c>
      <c r="C71">
        <v>22</v>
      </c>
      <c r="D71">
        <v>0.31</v>
      </c>
      <c r="E71">
        <v>0.86</v>
      </c>
      <c r="F71">
        <v>75</v>
      </c>
      <c r="G71">
        <v>1</v>
      </c>
      <c r="I71">
        <f t="shared" si="1"/>
        <v>12</v>
      </c>
      <c r="J71">
        <v>2</v>
      </c>
    </row>
    <row r="72" spans="1:10" x14ac:dyDescent="0.35">
      <c r="A72">
        <v>71</v>
      </c>
      <c r="B72">
        <v>6</v>
      </c>
      <c r="C72">
        <v>14</v>
      </c>
      <c r="D72">
        <v>0.23</v>
      </c>
      <c r="E72">
        <v>0.69</v>
      </c>
      <c r="F72">
        <v>35.483870967741943</v>
      </c>
      <c r="G72">
        <v>1</v>
      </c>
      <c r="I72">
        <f t="shared" si="1"/>
        <v>8</v>
      </c>
      <c r="J72">
        <v>2</v>
      </c>
    </row>
    <row r="73" spans="1:10" x14ac:dyDescent="0.35">
      <c r="A73">
        <v>72</v>
      </c>
      <c r="B73">
        <v>8</v>
      </c>
      <c r="C73">
        <v>19</v>
      </c>
      <c r="D73">
        <v>0.28999999999999998</v>
      </c>
      <c r="E73">
        <v>0.79</v>
      </c>
      <c r="F73">
        <v>42</v>
      </c>
      <c r="G73">
        <v>1</v>
      </c>
      <c r="I73">
        <f t="shared" si="1"/>
        <v>11</v>
      </c>
      <c r="J73">
        <v>2</v>
      </c>
    </row>
    <row r="74" spans="1:10" x14ac:dyDescent="0.35">
      <c r="A74">
        <v>73</v>
      </c>
      <c r="B74">
        <v>12</v>
      </c>
      <c r="C74">
        <v>23</v>
      </c>
      <c r="D74">
        <v>0.49</v>
      </c>
      <c r="E74">
        <v>0.94</v>
      </c>
      <c r="F74">
        <v>52</v>
      </c>
      <c r="G74">
        <v>1</v>
      </c>
      <c r="I74">
        <f t="shared" si="1"/>
        <v>11</v>
      </c>
      <c r="J74">
        <v>2</v>
      </c>
    </row>
    <row r="75" spans="1:10" x14ac:dyDescent="0.35">
      <c r="A75">
        <v>74</v>
      </c>
      <c r="B75">
        <v>7</v>
      </c>
      <c r="C75">
        <v>17</v>
      </c>
      <c r="D75">
        <v>0.25</v>
      </c>
      <c r="E75">
        <v>0.73</v>
      </c>
      <c r="F75">
        <v>34</v>
      </c>
      <c r="G75">
        <v>1</v>
      </c>
      <c r="I75">
        <f t="shared" si="1"/>
        <v>10</v>
      </c>
      <c r="J75">
        <v>2</v>
      </c>
    </row>
    <row r="76" spans="1:10" x14ac:dyDescent="0.35">
      <c r="A76">
        <v>75</v>
      </c>
      <c r="B76">
        <v>9</v>
      </c>
      <c r="C76">
        <v>20</v>
      </c>
      <c r="D76">
        <v>0.37</v>
      </c>
      <c r="E76">
        <v>0.81</v>
      </c>
      <c r="F76">
        <v>59.523809523809533</v>
      </c>
      <c r="G76">
        <v>1</v>
      </c>
      <c r="I76">
        <f t="shared" si="1"/>
        <v>11</v>
      </c>
      <c r="J76">
        <v>2</v>
      </c>
    </row>
    <row r="77" spans="1:10" x14ac:dyDescent="0.35">
      <c r="A77">
        <v>76</v>
      </c>
      <c r="B77">
        <v>11</v>
      </c>
      <c r="C77">
        <v>21</v>
      </c>
      <c r="D77">
        <v>0.43</v>
      </c>
      <c r="E77">
        <v>0.93</v>
      </c>
      <c r="F77">
        <v>52</v>
      </c>
      <c r="G77">
        <v>1</v>
      </c>
      <c r="I77">
        <f t="shared" si="1"/>
        <v>10</v>
      </c>
      <c r="J77">
        <v>2</v>
      </c>
    </row>
    <row r="78" spans="1:10" x14ac:dyDescent="0.35">
      <c r="A78">
        <v>77</v>
      </c>
      <c r="B78">
        <v>3</v>
      </c>
      <c r="C78">
        <v>9</v>
      </c>
      <c r="D78">
        <v>0.11</v>
      </c>
      <c r="E78">
        <v>0.5</v>
      </c>
      <c r="F78">
        <v>52</v>
      </c>
      <c r="G78">
        <v>1</v>
      </c>
      <c r="I78">
        <f t="shared" si="1"/>
        <v>6</v>
      </c>
      <c r="J78">
        <v>2</v>
      </c>
    </row>
    <row r="79" spans="1:10" x14ac:dyDescent="0.35">
      <c r="A79">
        <v>78</v>
      </c>
      <c r="B79">
        <v>14</v>
      </c>
      <c r="C79">
        <v>22</v>
      </c>
      <c r="D79">
        <v>0.54</v>
      </c>
      <c r="E79">
        <v>0.97</v>
      </c>
      <c r="F79">
        <v>60</v>
      </c>
      <c r="G79">
        <v>1</v>
      </c>
      <c r="I79">
        <f t="shared" si="1"/>
        <v>8</v>
      </c>
      <c r="J79">
        <v>2</v>
      </c>
    </row>
    <row r="80" spans="1:10" x14ac:dyDescent="0.35">
      <c r="A80">
        <v>79</v>
      </c>
      <c r="B80">
        <v>5</v>
      </c>
      <c r="C80">
        <v>14</v>
      </c>
      <c r="D80">
        <v>0.2</v>
      </c>
      <c r="E80">
        <v>0.64</v>
      </c>
      <c r="F80">
        <v>42</v>
      </c>
      <c r="G80">
        <v>1</v>
      </c>
      <c r="I80">
        <f t="shared" si="1"/>
        <v>9</v>
      </c>
      <c r="J80">
        <v>2</v>
      </c>
    </row>
    <row r="81" spans="1:10" x14ac:dyDescent="0.35">
      <c r="A81">
        <v>80</v>
      </c>
      <c r="B81">
        <v>10</v>
      </c>
      <c r="C81">
        <v>20</v>
      </c>
      <c r="D81">
        <v>0.34</v>
      </c>
      <c r="E81">
        <v>0.82</v>
      </c>
      <c r="F81">
        <v>52</v>
      </c>
      <c r="G81">
        <v>1</v>
      </c>
      <c r="I81">
        <f t="shared" si="1"/>
        <v>10</v>
      </c>
      <c r="J81">
        <v>2</v>
      </c>
    </row>
    <row r="82" spans="1:10" x14ac:dyDescent="0.35">
      <c r="A82">
        <v>81</v>
      </c>
      <c r="B82">
        <v>6</v>
      </c>
      <c r="C82">
        <v>16</v>
      </c>
      <c r="D82">
        <v>0.22</v>
      </c>
      <c r="E82">
        <v>0.71</v>
      </c>
      <c r="F82">
        <v>51.162790697674417</v>
      </c>
      <c r="G82">
        <v>1</v>
      </c>
      <c r="I82">
        <f t="shared" si="1"/>
        <v>10</v>
      </c>
      <c r="J82">
        <v>2</v>
      </c>
    </row>
    <row r="83" spans="1:10" x14ac:dyDescent="0.35">
      <c r="A83">
        <v>82</v>
      </c>
      <c r="B83">
        <v>8</v>
      </c>
      <c r="C83">
        <v>18</v>
      </c>
      <c r="D83">
        <v>0.3</v>
      </c>
      <c r="E83">
        <v>0.76</v>
      </c>
      <c r="F83">
        <v>34</v>
      </c>
      <c r="G83">
        <v>1</v>
      </c>
      <c r="I83">
        <f t="shared" si="1"/>
        <v>10</v>
      </c>
      <c r="J83">
        <v>2</v>
      </c>
    </row>
    <row r="84" spans="1:10" x14ac:dyDescent="0.35">
      <c r="A84">
        <v>83</v>
      </c>
      <c r="B84">
        <v>12</v>
      </c>
      <c r="C84">
        <v>19</v>
      </c>
      <c r="D84">
        <v>0.48</v>
      </c>
      <c r="E84">
        <v>0.88</v>
      </c>
      <c r="F84">
        <v>52</v>
      </c>
      <c r="G84">
        <v>1</v>
      </c>
      <c r="I84">
        <f t="shared" si="1"/>
        <v>7</v>
      </c>
      <c r="J84">
        <v>2</v>
      </c>
    </row>
    <row r="85" spans="1:10" x14ac:dyDescent="0.35">
      <c r="A85">
        <v>84</v>
      </c>
      <c r="B85">
        <v>7</v>
      </c>
      <c r="C85">
        <v>15</v>
      </c>
      <c r="D85">
        <v>0.27</v>
      </c>
      <c r="E85">
        <v>0.7</v>
      </c>
      <c r="F85">
        <v>42.211055276381913</v>
      </c>
      <c r="G85">
        <v>1</v>
      </c>
      <c r="I85">
        <f t="shared" si="1"/>
        <v>8</v>
      </c>
      <c r="J85">
        <v>2</v>
      </c>
    </row>
    <row r="86" spans="1:10" x14ac:dyDescent="0.35">
      <c r="A86">
        <v>85</v>
      </c>
      <c r="B86">
        <v>9</v>
      </c>
      <c r="C86">
        <v>22</v>
      </c>
      <c r="D86">
        <v>0.39</v>
      </c>
      <c r="E86">
        <v>0.85</v>
      </c>
      <c r="F86">
        <v>34</v>
      </c>
      <c r="G86">
        <v>1</v>
      </c>
      <c r="I86">
        <f t="shared" si="1"/>
        <v>13</v>
      </c>
      <c r="J86">
        <v>2</v>
      </c>
    </row>
    <row r="87" spans="1:10" x14ac:dyDescent="0.35">
      <c r="A87">
        <v>86</v>
      </c>
      <c r="B87">
        <v>11</v>
      </c>
      <c r="C87">
        <v>23</v>
      </c>
      <c r="D87">
        <v>0.46</v>
      </c>
      <c r="E87">
        <v>0.99</v>
      </c>
      <c r="F87">
        <v>60</v>
      </c>
      <c r="G87">
        <v>1</v>
      </c>
      <c r="I87">
        <f t="shared" si="1"/>
        <v>12</v>
      </c>
      <c r="J87">
        <v>2</v>
      </c>
    </row>
    <row r="88" spans="1:10" x14ac:dyDescent="0.35">
      <c r="A88">
        <v>87</v>
      </c>
      <c r="B88">
        <v>4</v>
      </c>
      <c r="C88">
        <v>11</v>
      </c>
      <c r="D88">
        <v>0.13</v>
      </c>
      <c r="E88">
        <v>0.53</v>
      </c>
      <c r="F88">
        <v>43.227665706051873</v>
      </c>
      <c r="G88">
        <v>1</v>
      </c>
      <c r="I88">
        <f t="shared" si="1"/>
        <v>7</v>
      </c>
      <c r="J88">
        <v>2</v>
      </c>
    </row>
    <row r="89" spans="1:10" x14ac:dyDescent="0.35">
      <c r="A89">
        <v>88</v>
      </c>
      <c r="B89">
        <v>13</v>
      </c>
      <c r="C89">
        <v>20</v>
      </c>
      <c r="D89">
        <v>0.51</v>
      </c>
      <c r="E89">
        <v>0.9</v>
      </c>
      <c r="F89">
        <v>34</v>
      </c>
      <c r="G89">
        <v>1</v>
      </c>
      <c r="I89">
        <f t="shared" si="1"/>
        <v>7</v>
      </c>
      <c r="J89">
        <v>2</v>
      </c>
    </row>
    <row r="90" spans="1:10" x14ac:dyDescent="0.35">
      <c r="A90">
        <v>89</v>
      </c>
      <c r="B90">
        <v>5</v>
      </c>
      <c r="C90">
        <v>15</v>
      </c>
      <c r="D90">
        <v>0.18</v>
      </c>
      <c r="E90">
        <v>0.62</v>
      </c>
      <c r="F90">
        <v>75</v>
      </c>
      <c r="G90">
        <v>1</v>
      </c>
      <c r="I90">
        <f t="shared" si="1"/>
        <v>10</v>
      </c>
      <c r="J90">
        <v>2</v>
      </c>
    </row>
    <row r="91" spans="1:10" x14ac:dyDescent="0.35">
      <c r="A91">
        <v>90</v>
      </c>
      <c r="B91">
        <v>4</v>
      </c>
      <c r="C91">
        <v>9</v>
      </c>
      <c r="D91">
        <v>0.12</v>
      </c>
      <c r="E91">
        <v>0.56999999999999995</v>
      </c>
      <c r="F91">
        <v>34</v>
      </c>
      <c r="G91">
        <v>1</v>
      </c>
      <c r="I91">
        <f t="shared" si="1"/>
        <v>5</v>
      </c>
      <c r="J91">
        <v>3</v>
      </c>
    </row>
    <row r="92" spans="1:10" x14ac:dyDescent="0.35">
      <c r="A92">
        <v>91</v>
      </c>
      <c r="B92">
        <v>7</v>
      </c>
      <c r="C92">
        <v>12</v>
      </c>
      <c r="D92">
        <v>0.23</v>
      </c>
      <c r="E92">
        <v>0.65</v>
      </c>
      <c r="F92">
        <v>42.067307692307693</v>
      </c>
      <c r="G92">
        <v>1</v>
      </c>
      <c r="I92">
        <f t="shared" si="1"/>
        <v>5</v>
      </c>
      <c r="J92">
        <v>3</v>
      </c>
    </row>
    <row r="93" spans="1:10" x14ac:dyDescent="0.35">
      <c r="A93">
        <v>92</v>
      </c>
      <c r="B93">
        <v>9</v>
      </c>
      <c r="C93">
        <v>15</v>
      </c>
      <c r="D93">
        <v>0.31</v>
      </c>
      <c r="E93">
        <v>0.78</v>
      </c>
      <c r="F93">
        <v>43.360433604336038</v>
      </c>
      <c r="G93">
        <v>1</v>
      </c>
      <c r="I93">
        <f t="shared" si="1"/>
        <v>6</v>
      </c>
      <c r="J93">
        <v>3</v>
      </c>
    </row>
    <row r="94" spans="1:10" x14ac:dyDescent="0.35">
      <c r="A94">
        <v>93</v>
      </c>
      <c r="B94">
        <v>5</v>
      </c>
      <c r="C94">
        <v>11</v>
      </c>
      <c r="D94">
        <v>0.18</v>
      </c>
      <c r="E94">
        <v>0.62</v>
      </c>
      <c r="F94">
        <v>42</v>
      </c>
      <c r="G94">
        <v>1</v>
      </c>
      <c r="I94">
        <f t="shared" si="1"/>
        <v>6</v>
      </c>
      <c r="J94">
        <v>3</v>
      </c>
    </row>
    <row r="95" spans="1:10" x14ac:dyDescent="0.35">
      <c r="A95">
        <v>94</v>
      </c>
      <c r="B95">
        <v>8</v>
      </c>
      <c r="C95">
        <v>14</v>
      </c>
      <c r="D95">
        <v>0.27</v>
      </c>
      <c r="E95">
        <v>0.73</v>
      </c>
      <c r="F95">
        <v>34</v>
      </c>
      <c r="G95">
        <v>1</v>
      </c>
      <c r="I95">
        <f t="shared" si="1"/>
        <v>6</v>
      </c>
      <c r="J95">
        <v>3</v>
      </c>
    </row>
    <row r="96" spans="1:10" x14ac:dyDescent="0.35">
      <c r="A96">
        <v>95</v>
      </c>
      <c r="B96">
        <v>6</v>
      </c>
      <c r="C96">
        <v>13</v>
      </c>
      <c r="D96">
        <v>0.21</v>
      </c>
      <c r="E96">
        <v>0.68</v>
      </c>
      <c r="F96">
        <v>75</v>
      </c>
      <c r="G96">
        <v>1</v>
      </c>
      <c r="I96">
        <f t="shared" si="1"/>
        <v>7</v>
      </c>
      <c r="J96">
        <v>3</v>
      </c>
    </row>
    <row r="97" spans="1:10" x14ac:dyDescent="0.35">
      <c r="A97">
        <v>96</v>
      </c>
      <c r="B97">
        <v>10</v>
      </c>
      <c r="C97">
        <v>17</v>
      </c>
      <c r="D97">
        <v>0.35</v>
      </c>
      <c r="E97">
        <v>0.82</v>
      </c>
      <c r="F97">
        <v>34</v>
      </c>
      <c r="G97">
        <v>1</v>
      </c>
      <c r="I97">
        <f t="shared" si="1"/>
        <v>7</v>
      </c>
      <c r="J97">
        <v>3</v>
      </c>
    </row>
    <row r="98" spans="1:10" x14ac:dyDescent="0.35">
      <c r="A98">
        <v>97</v>
      </c>
      <c r="B98">
        <v>3</v>
      </c>
      <c r="C98">
        <v>8</v>
      </c>
      <c r="D98">
        <v>0.1</v>
      </c>
      <c r="E98">
        <v>0.52</v>
      </c>
      <c r="F98">
        <v>45</v>
      </c>
      <c r="G98">
        <v>1</v>
      </c>
      <c r="I98">
        <f t="shared" si="1"/>
        <v>5</v>
      </c>
      <c r="J98">
        <v>3</v>
      </c>
    </row>
    <row r="99" spans="1:10" x14ac:dyDescent="0.35">
      <c r="A99">
        <v>98</v>
      </c>
      <c r="B99">
        <v>11</v>
      </c>
      <c r="C99">
        <v>19</v>
      </c>
      <c r="D99">
        <v>0.42</v>
      </c>
      <c r="E99">
        <v>0.88</v>
      </c>
      <c r="F99">
        <v>42</v>
      </c>
      <c r="G99">
        <v>1</v>
      </c>
      <c r="I99">
        <f t="shared" si="1"/>
        <v>8</v>
      </c>
      <c r="J99">
        <v>3</v>
      </c>
    </row>
    <row r="100" spans="1:10" x14ac:dyDescent="0.35">
      <c r="A100">
        <v>99</v>
      </c>
      <c r="B100">
        <v>5</v>
      </c>
      <c r="C100">
        <v>10</v>
      </c>
      <c r="D100">
        <v>0.16</v>
      </c>
      <c r="E100">
        <v>0.59</v>
      </c>
      <c r="F100">
        <v>34</v>
      </c>
      <c r="G100">
        <v>1</v>
      </c>
      <c r="I100">
        <f t="shared" si="1"/>
        <v>5</v>
      </c>
      <c r="J100">
        <v>3</v>
      </c>
    </row>
    <row r="101" spans="1:10" x14ac:dyDescent="0.35">
      <c r="A101">
        <v>100</v>
      </c>
      <c r="B101">
        <v>9</v>
      </c>
      <c r="C101">
        <v>16</v>
      </c>
      <c r="D101">
        <v>0.28999999999999998</v>
      </c>
      <c r="E101">
        <v>0.75</v>
      </c>
      <c r="F101">
        <v>52</v>
      </c>
      <c r="G101">
        <v>1</v>
      </c>
      <c r="I101">
        <f t="shared" si="1"/>
        <v>7</v>
      </c>
      <c r="J101">
        <v>3</v>
      </c>
    </row>
    <row r="102" spans="1:10" x14ac:dyDescent="0.35">
      <c r="A102">
        <v>101</v>
      </c>
      <c r="B102">
        <v>6</v>
      </c>
      <c r="C102">
        <v>12</v>
      </c>
      <c r="D102">
        <v>0.2</v>
      </c>
      <c r="E102">
        <v>0.64</v>
      </c>
      <c r="F102">
        <v>42</v>
      </c>
      <c r="G102">
        <v>1</v>
      </c>
      <c r="I102">
        <f t="shared" si="1"/>
        <v>6</v>
      </c>
      <c r="J102">
        <v>3</v>
      </c>
    </row>
    <row r="103" spans="1:10" x14ac:dyDescent="0.35">
      <c r="A103">
        <v>102</v>
      </c>
      <c r="B103">
        <v>8</v>
      </c>
      <c r="C103">
        <v>15</v>
      </c>
      <c r="D103">
        <v>0.26</v>
      </c>
      <c r="E103">
        <v>0.71</v>
      </c>
      <c r="F103">
        <v>42</v>
      </c>
      <c r="G103">
        <v>1</v>
      </c>
      <c r="I103">
        <f t="shared" si="1"/>
        <v>7</v>
      </c>
      <c r="J103">
        <v>3</v>
      </c>
    </row>
    <row r="104" spans="1:10" x14ac:dyDescent="0.35">
      <c r="A104">
        <v>103</v>
      </c>
      <c r="B104">
        <v>12</v>
      </c>
      <c r="C104">
        <v>20</v>
      </c>
      <c r="D104">
        <v>0.45</v>
      </c>
      <c r="E104">
        <v>0.91</v>
      </c>
      <c r="F104">
        <v>35</v>
      </c>
      <c r="G104">
        <v>1</v>
      </c>
      <c r="I104">
        <f t="shared" si="1"/>
        <v>8</v>
      </c>
      <c r="J104">
        <v>3</v>
      </c>
    </row>
    <row r="105" spans="1:10" x14ac:dyDescent="0.35">
      <c r="A105">
        <v>104</v>
      </c>
      <c r="B105">
        <v>7</v>
      </c>
      <c r="C105">
        <v>14</v>
      </c>
      <c r="D105">
        <v>0.24</v>
      </c>
      <c r="E105">
        <v>0.69</v>
      </c>
      <c r="F105">
        <v>34</v>
      </c>
      <c r="G105">
        <v>1</v>
      </c>
      <c r="I105">
        <f t="shared" si="1"/>
        <v>7</v>
      </c>
      <c r="J105">
        <v>3</v>
      </c>
    </row>
    <row r="106" spans="1:10" x14ac:dyDescent="0.35">
      <c r="A106">
        <v>105</v>
      </c>
      <c r="B106">
        <v>9</v>
      </c>
      <c r="C106">
        <v>18</v>
      </c>
      <c r="D106">
        <v>0.33</v>
      </c>
      <c r="E106">
        <v>0.8</v>
      </c>
      <c r="F106">
        <v>34</v>
      </c>
      <c r="G106">
        <v>1</v>
      </c>
      <c r="I106">
        <f t="shared" si="1"/>
        <v>9</v>
      </c>
      <c r="J106">
        <v>3</v>
      </c>
    </row>
    <row r="107" spans="1:10" x14ac:dyDescent="0.35">
      <c r="A107">
        <v>106</v>
      </c>
      <c r="B107">
        <v>11</v>
      </c>
      <c r="C107">
        <v>21</v>
      </c>
      <c r="D107">
        <v>0.4</v>
      </c>
      <c r="E107">
        <v>0.89</v>
      </c>
      <c r="F107">
        <v>60</v>
      </c>
      <c r="G107">
        <v>1</v>
      </c>
      <c r="I107">
        <f t="shared" si="1"/>
        <v>10</v>
      </c>
      <c r="J107">
        <v>3</v>
      </c>
    </row>
    <row r="108" spans="1:10" x14ac:dyDescent="0.35">
      <c r="A108">
        <v>107</v>
      </c>
      <c r="B108">
        <v>4</v>
      </c>
      <c r="C108">
        <v>10</v>
      </c>
      <c r="D108">
        <v>0.14000000000000001</v>
      </c>
      <c r="E108">
        <v>0.55000000000000004</v>
      </c>
      <c r="F108">
        <v>52</v>
      </c>
      <c r="G108">
        <v>1</v>
      </c>
      <c r="I108">
        <f t="shared" si="1"/>
        <v>6</v>
      </c>
      <c r="J108">
        <v>3</v>
      </c>
    </row>
    <row r="109" spans="1:10" x14ac:dyDescent="0.35">
      <c r="A109">
        <v>108</v>
      </c>
      <c r="B109">
        <v>13</v>
      </c>
      <c r="C109">
        <v>22</v>
      </c>
      <c r="D109">
        <v>0.5</v>
      </c>
      <c r="E109">
        <v>0.95</v>
      </c>
      <c r="F109">
        <v>34</v>
      </c>
      <c r="G109">
        <v>1</v>
      </c>
      <c r="I109">
        <f t="shared" si="1"/>
        <v>9</v>
      </c>
      <c r="J109">
        <v>3</v>
      </c>
    </row>
    <row r="110" spans="1:10" x14ac:dyDescent="0.35">
      <c r="A110">
        <v>109</v>
      </c>
      <c r="B110">
        <v>5</v>
      </c>
      <c r="C110">
        <v>12</v>
      </c>
      <c r="D110">
        <v>0.17</v>
      </c>
      <c r="E110">
        <v>0.61</v>
      </c>
      <c r="F110">
        <v>34</v>
      </c>
      <c r="G110">
        <v>1</v>
      </c>
      <c r="I110">
        <f t="shared" si="1"/>
        <v>7</v>
      </c>
      <c r="J110">
        <v>3</v>
      </c>
    </row>
    <row r="111" spans="1:10" x14ac:dyDescent="0.35">
      <c r="A111">
        <v>110</v>
      </c>
      <c r="B111">
        <v>10</v>
      </c>
      <c r="C111">
        <v>19</v>
      </c>
      <c r="D111">
        <v>0.36</v>
      </c>
      <c r="E111">
        <v>0.84</v>
      </c>
      <c r="F111">
        <v>34</v>
      </c>
      <c r="G111">
        <v>1</v>
      </c>
      <c r="I111">
        <f t="shared" si="1"/>
        <v>9</v>
      </c>
      <c r="J111">
        <v>3</v>
      </c>
    </row>
    <row r="112" spans="1:10" x14ac:dyDescent="0.35">
      <c r="A112">
        <v>111</v>
      </c>
      <c r="B112">
        <v>6</v>
      </c>
      <c r="C112">
        <v>14</v>
      </c>
      <c r="D112">
        <v>0.22</v>
      </c>
      <c r="E112">
        <v>0.67</v>
      </c>
      <c r="F112">
        <v>34</v>
      </c>
      <c r="G112">
        <v>1</v>
      </c>
      <c r="I112">
        <f t="shared" si="1"/>
        <v>8</v>
      </c>
      <c r="J112">
        <v>3</v>
      </c>
    </row>
    <row r="113" spans="1:10" x14ac:dyDescent="0.35">
      <c r="A113">
        <v>112</v>
      </c>
      <c r="B113">
        <v>8</v>
      </c>
      <c r="C113">
        <v>17</v>
      </c>
      <c r="D113">
        <v>0.28000000000000003</v>
      </c>
      <c r="E113">
        <v>0.74</v>
      </c>
      <c r="F113">
        <v>34</v>
      </c>
      <c r="G113">
        <v>1</v>
      </c>
      <c r="I113">
        <f t="shared" si="1"/>
        <v>9</v>
      </c>
      <c r="J113">
        <v>3</v>
      </c>
    </row>
    <row r="114" spans="1:10" x14ac:dyDescent="0.35">
      <c r="A114">
        <v>113</v>
      </c>
      <c r="B114">
        <v>12</v>
      </c>
      <c r="C114">
        <v>21</v>
      </c>
      <c r="D114">
        <v>0.47</v>
      </c>
      <c r="E114">
        <v>0.92</v>
      </c>
      <c r="F114">
        <v>34</v>
      </c>
      <c r="G114">
        <v>1</v>
      </c>
      <c r="I114">
        <f t="shared" si="1"/>
        <v>9</v>
      </c>
      <c r="J114">
        <v>3</v>
      </c>
    </row>
    <row r="115" spans="1:10" x14ac:dyDescent="0.35">
      <c r="A115">
        <v>114</v>
      </c>
      <c r="B115">
        <v>7</v>
      </c>
      <c r="C115">
        <v>16</v>
      </c>
      <c r="D115">
        <v>0.25</v>
      </c>
      <c r="E115">
        <v>0.72</v>
      </c>
      <c r="F115">
        <v>42</v>
      </c>
      <c r="G115">
        <v>1</v>
      </c>
      <c r="I115">
        <f t="shared" si="1"/>
        <v>9</v>
      </c>
      <c r="J115">
        <v>3</v>
      </c>
    </row>
    <row r="116" spans="1:10" x14ac:dyDescent="0.35">
      <c r="A116">
        <v>115</v>
      </c>
      <c r="B116">
        <v>9</v>
      </c>
      <c r="C116">
        <v>20</v>
      </c>
      <c r="D116">
        <v>0.34</v>
      </c>
      <c r="E116">
        <v>0.83</v>
      </c>
      <c r="F116">
        <v>34</v>
      </c>
      <c r="G116">
        <v>1</v>
      </c>
      <c r="I116">
        <f t="shared" si="1"/>
        <v>11</v>
      </c>
      <c r="J116">
        <v>3</v>
      </c>
    </row>
    <row r="117" spans="1:10" x14ac:dyDescent="0.35">
      <c r="A117">
        <v>116</v>
      </c>
      <c r="B117">
        <v>11</v>
      </c>
      <c r="C117">
        <v>23</v>
      </c>
      <c r="D117">
        <v>0.43</v>
      </c>
      <c r="E117">
        <v>0.96</v>
      </c>
      <c r="F117">
        <v>75</v>
      </c>
      <c r="G117">
        <v>1</v>
      </c>
      <c r="I117">
        <f t="shared" si="1"/>
        <v>12</v>
      </c>
      <c r="J117">
        <v>3</v>
      </c>
    </row>
    <row r="118" spans="1:10" x14ac:dyDescent="0.35">
      <c r="A118">
        <v>117</v>
      </c>
      <c r="B118">
        <v>4</v>
      </c>
      <c r="C118">
        <v>11</v>
      </c>
      <c r="D118">
        <v>0.15</v>
      </c>
      <c r="E118">
        <v>0.57999999999999996</v>
      </c>
      <c r="F118">
        <v>42</v>
      </c>
      <c r="G118">
        <v>1</v>
      </c>
      <c r="I118">
        <f t="shared" si="1"/>
        <v>7</v>
      </c>
      <c r="J118">
        <v>3</v>
      </c>
    </row>
    <row r="119" spans="1:10" x14ac:dyDescent="0.35">
      <c r="A119">
        <v>118</v>
      </c>
      <c r="B119">
        <v>13</v>
      </c>
      <c r="C119">
        <v>19</v>
      </c>
      <c r="D119">
        <v>0.48</v>
      </c>
      <c r="E119">
        <v>0.9</v>
      </c>
      <c r="F119">
        <v>34</v>
      </c>
      <c r="G119">
        <v>1</v>
      </c>
      <c r="I119">
        <f t="shared" si="1"/>
        <v>6</v>
      </c>
      <c r="J119">
        <v>3</v>
      </c>
    </row>
    <row r="120" spans="1:10" x14ac:dyDescent="0.35">
      <c r="A120">
        <v>119</v>
      </c>
      <c r="B120">
        <v>5</v>
      </c>
      <c r="C120">
        <v>13</v>
      </c>
      <c r="D120">
        <v>0.19</v>
      </c>
      <c r="E120">
        <v>0.63</v>
      </c>
      <c r="F120">
        <v>35</v>
      </c>
      <c r="G120">
        <v>1</v>
      </c>
      <c r="I120">
        <f t="shared" si="1"/>
        <v>8</v>
      </c>
      <c r="J120">
        <v>3</v>
      </c>
    </row>
    <row r="121" spans="1:10" x14ac:dyDescent="0.35">
      <c r="A121">
        <v>120</v>
      </c>
      <c r="B121">
        <v>10</v>
      </c>
      <c r="C121">
        <v>22</v>
      </c>
      <c r="D121">
        <v>0.37</v>
      </c>
      <c r="E121">
        <v>0.86</v>
      </c>
      <c r="F121">
        <v>34</v>
      </c>
      <c r="G121">
        <v>1</v>
      </c>
      <c r="I121">
        <f t="shared" si="1"/>
        <v>12</v>
      </c>
      <c r="J121">
        <v>3</v>
      </c>
    </row>
    <row r="122" spans="1:10" x14ac:dyDescent="0.35">
      <c r="A122">
        <v>121</v>
      </c>
      <c r="B122">
        <v>6</v>
      </c>
      <c r="C122">
        <v>15</v>
      </c>
      <c r="D122">
        <v>0.23</v>
      </c>
      <c r="E122">
        <v>0.7</v>
      </c>
      <c r="F122">
        <v>42</v>
      </c>
      <c r="G122">
        <v>1</v>
      </c>
      <c r="I122">
        <f t="shared" si="1"/>
        <v>9</v>
      </c>
      <c r="J122">
        <v>3</v>
      </c>
    </row>
    <row r="123" spans="1:10" x14ac:dyDescent="0.35">
      <c r="A123">
        <v>122</v>
      </c>
      <c r="B123">
        <v>8</v>
      </c>
      <c r="C123">
        <v>18</v>
      </c>
      <c r="D123">
        <v>0.3</v>
      </c>
      <c r="E123">
        <v>0.77</v>
      </c>
      <c r="F123">
        <v>52</v>
      </c>
      <c r="G123">
        <v>1</v>
      </c>
      <c r="I123">
        <f t="shared" si="1"/>
        <v>10</v>
      </c>
      <c r="J123">
        <v>3</v>
      </c>
    </row>
    <row r="124" spans="1:10" x14ac:dyDescent="0.35">
      <c r="A124">
        <v>123</v>
      </c>
      <c r="B124">
        <v>12</v>
      </c>
      <c r="C124">
        <v>23</v>
      </c>
      <c r="D124">
        <v>0.49</v>
      </c>
      <c r="E124">
        <v>0.94</v>
      </c>
      <c r="F124">
        <v>42</v>
      </c>
      <c r="G124">
        <v>1</v>
      </c>
      <c r="I124">
        <f t="shared" si="1"/>
        <v>11</v>
      </c>
      <c r="J124">
        <v>3</v>
      </c>
    </row>
    <row r="125" spans="1:10" x14ac:dyDescent="0.35">
      <c r="A125">
        <v>124</v>
      </c>
      <c r="B125">
        <v>7</v>
      </c>
      <c r="C125">
        <v>17</v>
      </c>
      <c r="D125">
        <v>0.26</v>
      </c>
      <c r="E125">
        <v>0.73</v>
      </c>
      <c r="F125">
        <v>34</v>
      </c>
      <c r="G125">
        <v>1</v>
      </c>
      <c r="I125">
        <f t="shared" si="1"/>
        <v>10</v>
      </c>
      <c r="J125">
        <v>3</v>
      </c>
    </row>
    <row r="126" spans="1:10" x14ac:dyDescent="0.35">
      <c r="A126">
        <v>125</v>
      </c>
      <c r="B126">
        <v>9</v>
      </c>
      <c r="C126">
        <v>21</v>
      </c>
      <c r="D126">
        <v>0.38</v>
      </c>
      <c r="E126">
        <v>0.85</v>
      </c>
      <c r="F126">
        <v>34</v>
      </c>
      <c r="G126">
        <v>1</v>
      </c>
      <c r="I126">
        <f t="shared" si="1"/>
        <v>12</v>
      </c>
      <c r="J126">
        <v>3</v>
      </c>
    </row>
    <row r="127" spans="1:10" x14ac:dyDescent="0.35">
      <c r="A127">
        <v>126</v>
      </c>
      <c r="B127">
        <v>11</v>
      </c>
      <c r="C127">
        <v>22</v>
      </c>
      <c r="D127">
        <v>0.44</v>
      </c>
      <c r="E127">
        <v>0.93</v>
      </c>
      <c r="F127">
        <v>52</v>
      </c>
      <c r="G127">
        <v>1</v>
      </c>
      <c r="I127">
        <f t="shared" si="1"/>
        <v>11</v>
      </c>
      <c r="J127">
        <v>3</v>
      </c>
    </row>
    <row r="128" spans="1:10" x14ac:dyDescent="0.35">
      <c r="A128">
        <v>127</v>
      </c>
      <c r="B128">
        <v>3</v>
      </c>
      <c r="C128">
        <v>9</v>
      </c>
      <c r="D128">
        <v>0.11</v>
      </c>
      <c r="E128">
        <v>0.53</v>
      </c>
      <c r="F128">
        <v>52</v>
      </c>
      <c r="G128">
        <v>1</v>
      </c>
      <c r="I128">
        <f t="shared" si="1"/>
        <v>6</v>
      </c>
      <c r="J128">
        <v>3</v>
      </c>
    </row>
    <row r="129" spans="1:10" x14ac:dyDescent="0.35">
      <c r="A129">
        <v>128</v>
      </c>
      <c r="B129">
        <v>14</v>
      </c>
      <c r="C129">
        <v>23</v>
      </c>
      <c r="D129">
        <v>0.52</v>
      </c>
      <c r="E129">
        <v>0.97</v>
      </c>
      <c r="F129">
        <v>75</v>
      </c>
      <c r="G129">
        <v>1</v>
      </c>
      <c r="I129">
        <f t="shared" si="1"/>
        <v>9</v>
      </c>
      <c r="J129">
        <v>3</v>
      </c>
    </row>
    <row r="130" spans="1:10" x14ac:dyDescent="0.35">
      <c r="A130">
        <v>129</v>
      </c>
      <c r="B130">
        <v>5</v>
      </c>
      <c r="C130">
        <v>14</v>
      </c>
      <c r="D130">
        <v>0.2</v>
      </c>
      <c r="E130">
        <v>0.65</v>
      </c>
      <c r="F130">
        <v>34</v>
      </c>
      <c r="G130">
        <v>1</v>
      </c>
      <c r="I130">
        <f t="shared" si="1"/>
        <v>9</v>
      </c>
      <c r="J130">
        <v>3</v>
      </c>
    </row>
    <row r="131" spans="1:10" x14ac:dyDescent="0.35">
      <c r="A131">
        <v>130</v>
      </c>
      <c r="B131">
        <v>10</v>
      </c>
      <c r="C131">
        <v>20</v>
      </c>
      <c r="D131">
        <v>0.39</v>
      </c>
      <c r="E131">
        <v>0.87</v>
      </c>
      <c r="F131">
        <v>55</v>
      </c>
      <c r="G131">
        <v>1</v>
      </c>
      <c r="I131">
        <f t="shared" ref="I131:I140" si="2">C131-B131</f>
        <v>10</v>
      </c>
      <c r="J131">
        <v>3</v>
      </c>
    </row>
    <row r="132" spans="1:10" x14ac:dyDescent="0.35">
      <c r="A132">
        <v>131</v>
      </c>
      <c r="B132">
        <v>6</v>
      </c>
      <c r="C132">
        <v>16</v>
      </c>
      <c r="D132">
        <v>0.24</v>
      </c>
      <c r="E132">
        <v>0.71</v>
      </c>
      <c r="F132">
        <v>34</v>
      </c>
      <c r="G132">
        <v>1</v>
      </c>
      <c r="I132">
        <f t="shared" si="2"/>
        <v>10</v>
      </c>
      <c r="J132">
        <v>3</v>
      </c>
    </row>
    <row r="133" spans="1:10" x14ac:dyDescent="0.35">
      <c r="A133">
        <v>132</v>
      </c>
      <c r="B133">
        <v>8</v>
      </c>
      <c r="C133">
        <v>19</v>
      </c>
      <c r="D133">
        <v>0.32</v>
      </c>
      <c r="E133">
        <v>0.79</v>
      </c>
      <c r="F133">
        <v>42</v>
      </c>
      <c r="G133">
        <v>1</v>
      </c>
      <c r="I133">
        <f t="shared" si="2"/>
        <v>11</v>
      </c>
      <c r="J133">
        <v>3</v>
      </c>
    </row>
    <row r="134" spans="1:10" x14ac:dyDescent="0.35">
      <c r="A134">
        <v>133</v>
      </c>
      <c r="B134">
        <v>12</v>
      </c>
      <c r="C134">
        <v>22</v>
      </c>
      <c r="D134">
        <v>0.51</v>
      </c>
      <c r="E134">
        <v>0.98</v>
      </c>
      <c r="F134">
        <v>52</v>
      </c>
      <c r="G134">
        <v>1</v>
      </c>
      <c r="I134">
        <f t="shared" si="2"/>
        <v>10</v>
      </c>
      <c r="J134">
        <v>3</v>
      </c>
    </row>
    <row r="135" spans="1:10" x14ac:dyDescent="0.35">
      <c r="A135">
        <v>134</v>
      </c>
      <c r="B135">
        <v>7</v>
      </c>
      <c r="C135">
        <v>18</v>
      </c>
      <c r="D135">
        <v>0.27</v>
      </c>
      <c r="E135">
        <v>0.75</v>
      </c>
      <c r="F135">
        <v>42</v>
      </c>
      <c r="G135">
        <v>1</v>
      </c>
      <c r="I135">
        <f t="shared" si="2"/>
        <v>11</v>
      </c>
      <c r="J135">
        <v>3</v>
      </c>
    </row>
    <row r="136" spans="1:10" x14ac:dyDescent="0.35">
      <c r="A136">
        <v>135</v>
      </c>
      <c r="B136">
        <v>9</v>
      </c>
      <c r="C136">
        <v>22</v>
      </c>
      <c r="D136">
        <v>0.41</v>
      </c>
      <c r="E136">
        <v>0.89</v>
      </c>
      <c r="F136">
        <v>42</v>
      </c>
      <c r="G136">
        <v>1</v>
      </c>
      <c r="I136">
        <f t="shared" si="2"/>
        <v>13</v>
      </c>
      <c r="J136">
        <v>3</v>
      </c>
    </row>
    <row r="137" spans="1:10" x14ac:dyDescent="0.35">
      <c r="A137">
        <v>136</v>
      </c>
      <c r="B137">
        <v>11</v>
      </c>
      <c r="C137">
        <v>23</v>
      </c>
      <c r="D137">
        <v>0.46</v>
      </c>
      <c r="E137">
        <v>0.99</v>
      </c>
      <c r="F137">
        <v>52</v>
      </c>
      <c r="G137">
        <v>1</v>
      </c>
      <c r="I137">
        <f t="shared" si="2"/>
        <v>12</v>
      </c>
      <c r="J137">
        <v>3</v>
      </c>
    </row>
    <row r="138" spans="1:10" x14ac:dyDescent="0.35">
      <c r="A138">
        <v>137</v>
      </c>
      <c r="B138">
        <v>4</v>
      </c>
      <c r="C138">
        <v>12</v>
      </c>
      <c r="D138">
        <v>0.16</v>
      </c>
      <c r="E138">
        <v>0.6</v>
      </c>
      <c r="F138">
        <v>40</v>
      </c>
      <c r="G138">
        <v>1</v>
      </c>
      <c r="I138">
        <f t="shared" si="2"/>
        <v>8</v>
      </c>
      <c r="J138">
        <v>3</v>
      </c>
    </row>
    <row r="139" spans="1:10" x14ac:dyDescent="0.35">
      <c r="A139">
        <v>138</v>
      </c>
      <c r="B139">
        <v>13</v>
      </c>
      <c r="C139">
        <v>20</v>
      </c>
      <c r="D139">
        <v>0.53</v>
      </c>
      <c r="E139">
        <v>0.96</v>
      </c>
      <c r="F139">
        <v>42</v>
      </c>
      <c r="G139">
        <v>1</v>
      </c>
      <c r="I139">
        <f t="shared" si="2"/>
        <v>7</v>
      </c>
      <c r="J139">
        <v>3</v>
      </c>
    </row>
    <row r="140" spans="1:10" x14ac:dyDescent="0.35">
      <c r="A140">
        <v>139</v>
      </c>
      <c r="B140">
        <v>5</v>
      </c>
      <c r="C140">
        <v>15</v>
      </c>
      <c r="D140">
        <v>0.21</v>
      </c>
      <c r="E140">
        <v>0.66</v>
      </c>
      <c r="F140">
        <v>52</v>
      </c>
      <c r="G140">
        <v>1</v>
      </c>
      <c r="I140">
        <f t="shared" si="2"/>
        <v>10</v>
      </c>
      <c r="J14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7531-A9B0-47EE-B75D-A8873601972F}">
  <dimension ref="A1:J25"/>
  <sheetViews>
    <sheetView workbookViewId="0">
      <selection activeCell="G1" sqref="G1:J1048576"/>
    </sheetView>
  </sheetViews>
  <sheetFormatPr defaultRowHeight="14.5" x14ac:dyDescent="0.35"/>
  <sheetData>
    <row r="1" spans="1:10" x14ac:dyDescent="0.35">
      <c r="B1" t="s">
        <v>5</v>
      </c>
    </row>
    <row r="2" spans="1:10" ht="16" x14ac:dyDescent="0.35">
      <c r="A2">
        <v>1</v>
      </c>
      <c r="B2" s="1">
        <f>(G2+37.5+45+20)*1.25</f>
        <v>132.5625</v>
      </c>
      <c r="F2">
        <v>36.39</v>
      </c>
      <c r="G2">
        <v>3.55</v>
      </c>
      <c r="I2" s="1">
        <v>39.72</v>
      </c>
      <c r="J2" s="5">
        <v>34.35</v>
      </c>
    </row>
    <row r="3" spans="1:10" ht="16" x14ac:dyDescent="0.35">
      <c r="A3">
        <v>2</v>
      </c>
      <c r="B3" s="1">
        <f t="shared" ref="B3:B25" si="0">(G3+37.5+45+20)*1.25</f>
        <v>131.5</v>
      </c>
      <c r="F3" s="3">
        <v>35.32</v>
      </c>
      <c r="G3" s="3">
        <v>2.7</v>
      </c>
      <c r="I3" s="1">
        <v>38.01250000000001</v>
      </c>
      <c r="J3" s="6">
        <v>35.17</v>
      </c>
    </row>
    <row r="4" spans="1:10" ht="16" x14ac:dyDescent="0.35">
      <c r="A4">
        <v>3</v>
      </c>
      <c r="B4" s="1">
        <f t="shared" si="0"/>
        <v>130.97499999999999</v>
      </c>
      <c r="F4" s="2">
        <v>34.869999999999997</v>
      </c>
      <c r="G4" s="2">
        <v>2.2799999999999998</v>
      </c>
      <c r="I4" s="1">
        <v>36.307500000000005</v>
      </c>
      <c r="J4" s="5">
        <v>35.090000000000003</v>
      </c>
    </row>
    <row r="5" spans="1:10" ht="16" x14ac:dyDescent="0.35">
      <c r="A5">
        <v>4</v>
      </c>
      <c r="B5" s="1">
        <f t="shared" si="0"/>
        <v>131.08750000000001</v>
      </c>
      <c r="F5" s="3">
        <v>34.840000000000003</v>
      </c>
      <c r="G5" s="3">
        <v>2.37</v>
      </c>
      <c r="I5" s="1">
        <v>34.46</v>
      </c>
      <c r="J5" s="6">
        <v>34.85</v>
      </c>
    </row>
    <row r="6" spans="1:10" ht="16" x14ac:dyDescent="0.35">
      <c r="A6">
        <v>5</v>
      </c>
      <c r="B6" s="1">
        <f t="shared" si="0"/>
        <v>161.47500000000002</v>
      </c>
      <c r="F6" s="2">
        <v>35.049999999999997</v>
      </c>
      <c r="G6" s="2">
        <v>26.68</v>
      </c>
      <c r="I6" s="1">
        <v>34.555</v>
      </c>
      <c r="J6" s="5">
        <v>36.92</v>
      </c>
    </row>
    <row r="7" spans="1:10" ht="16" x14ac:dyDescent="0.35">
      <c r="A7">
        <v>6</v>
      </c>
      <c r="B7" s="1">
        <f t="shared" si="0"/>
        <v>166.95</v>
      </c>
      <c r="F7" s="3">
        <v>38.53</v>
      </c>
      <c r="G7" s="3">
        <v>31.06</v>
      </c>
      <c r="I7" s="1">
        <v>36.268333333333338</v>
      </c>
      <c r="J7" s="6">
        <v>43.47</v>
      </c>
    </row>
    <row r="8" spans="1:10" ht="16" x14ac:dyDescent="0.35">
      <c r="A8">
        <v>7</v>
      </c>
      <c r="B8" s="1">
        <f t="shared" si="0"/>
        <v>174.02500000000001</v>
      </c>
      <c r="F8" s="2">
        <v>46.68</v>
      </c>
      <c r="G8" s="2">
        <v>36.72</v>
      </c>
      <c r="I8" s="1">
        <v>48.884166666666665</v>
      </c>
      <c r="J8" s="5">
        <v>78.900000000000006</v>
      </c>
    </row>
    <row r="9" spans="1:10" ht="16" x14ac:dyDescent="0.35">
      <c r="A9">
        <v>8</v>
      </c>
      <c r="B9" s="1">
        <f t="shared" si="0"/>
        <v>206.33749999999998</v>
      </c>
      <c r="F9" s="3">
        <v>59.87</v>
      </c>
      <c r="G9" s="3">
        <v>62.57</v>
      </c>
      <c r="I9" s="1">
        <v>63.403333333333343</v>
      </c>
      <c r="J9" s="6">
        <v>94.61</v>
      </c>
    </row>
    <row r="10" spans="1:10" ht="16" x14ac:dyDescent="0.35">
      <c r="A10">
        <v>9</v>
      </c>
      <c r="B10" s="1">
        <f t="shared" si="0"/>
        <v>194.0625</v>
      </c>
      <c r="F10" s="2">
        <v>73.69</v>
      </c>
      <c r="G10" s="2">
        <v>52.75</v>
      </c>
      <c r="I10" s="1">
        <v>82.545833333333334</v>
      </c>
      <c r="J10" s="5">
        <v>83.07</v>
      </c>
    </row>
    <row r="11" spans="1:10" ht="16" x14ac:dyDescent="0.35">
      <c r="A11">
        <v>10</v>
      </c>
      <c r="B11" s="1">
        <f t="shared" si="0"/>
        <v>171.55</v>
      </c>
      <c r="F11" s="3">
        <v>52.3</v>
      </c>
      <c r="G11" s="3">
        <v>34.74</v>
      </c>
      <c r="I11" s="1">
        <v>72.86333333333333</v>
      </c>
      <c r="J11" s="6">
        <v>64.17</v>
      </c>
    </row>
    <row r="12" spans="1:10" ht="16" x14ac:dyDescent="0.35">
      <c r="A12">
        <v>11</v>
      </c>
      <c r="B12" s="1">
        <f t="shared" si="0"/>
        <v>136.13749999999999</v>
      </c>
      <c r="F12" s="2">
        <v>40.46</v>
      </c>
      <c r="G12" s="2">
        <v>6.41</v>
      </c>
      <c r="I12" s="1">
        <v>59.63</v>
      </c>
      <c r="J12" s="5">
        <v>45.73</v>
      </c>
    </row>
    <row r="13" spans="1:10" ht="16" x14ac:dyDescent="0.35">
      <c r="A13">
        <v>12</v>
      </c>
      <c r="B13" s="1">
        <f t="shared" si="0"/>
        <v>130.41249999999999</v>
      </c>
      <c r="F13" s="3">
        <v>37.65</v>
      </c>
      <c r="G13" s="3">
        <v>1.83</v>
      </c>
      <c r="I13" s="1">
        <v>48.266666666666659</v>
      </c>
      <c r="J13" s="6">
        <v>35.01</v>
      </c>
    </row>
    <row r="14" spans="1:10" ht="16" x14ac:dyDescent="0.35">
      <c r="A14">
        <v>13</v>
      </c>
      <c r="B14" s="1">
        <f t="shared" si="0"/>
        <v>128.78749999999999</v>
      </c>
      <c r="F14" s="2">
        <v>34.43</v>
      </c>
      <c r="G14" s="2">
        <v>0.53</v>
      </c>
      <c r="I14" s="1">
        <v>44.283333333333339</v>
      </c>
      <c r="J14" s="5">
        <v>30.73</v>
      </c>
    </row>
    <row r="15" spans="1:10" ht="16" x14ac:dyDescent="0.35">
      <c r="A15">
        <v>14</v>
      </c>
      <c r="B15" s="1">
        <f t="shared" si="0"/>
        <v>127.6375</v>
      </c>
      <c r="F15" s="3">
        <v>26.36</v>
      </c>
      <c r="G15" s="4">
        <v>-0.39</v>
      </c>
      <c r="I15" s="1">
        <v>43.034999999999997</v>
      </c>
      <c r="J15" s="6">
        <v>27.62</v>
      </c>
    </row>
    <row r="16" spans="1:10" ht="16" x14ac:dyDescent="0.35">
      <c r="A16">
        <v>15</v>
      </c>
      <c r="B16" s="1">
        <f t="shared" si="0"/>
        <v>128.19999999999999</v>
      </c>
      <c r="F16" s="2">
        <v>23.15</v>
      </c>
      <c r="G16" s="2">
        <v>0.06</v>
      </c>
      <c r="I16" s="1">
        <v>43.792499999999997</v>
      </c>
      <c r="J16" s="5">
        <v>32.26</v>
      </c>
    </row>
    <row r="17" spans="1:10" ht="16" x14ac:dyDescent="0.35">
      <c r="A17">
        <v>16</v>
      </c>
      <c r="B17" s="1">
        <f t="shared" si="0"/>
        <v>129.97499999999999</v>
      </c>
      <c r="F17" s="3">
        <v>31.56</v>
      </c>
      <c r="G17" s="3">
        <v>1.48</v>
      </c>
      <c r="I17" s="1">
        <v>49.115833333333335</v>
      </c>
      <c r="J17" s="6">
        <v>35.26</v>
      </c>
    </row>
    <row r="18" spans="1:10" ht="16" x14ac:dyDescent="0.35">
      <c r="A18">
        <v>17</v>
      </c>
      <c r="B18" s="1">
        <f t="shared" si="0"/>
        <v>141.3125</v>
      </c>
      <c r="F18" s="2">
        <v>34.700000000000003</v>
      </c>
      <c r="G18" s="2">
        <v>10.55</v>
      </c>
      <c r="I18" s="1">
        <v>54.113333333333337</v>
      </c>
      <c r="J18" s="6">
        <v>39.28</v>
      </c>
    </row>
    <row r="19" spans="1:10" ht="16" x14ac:dyDescent="0.35">
      <c r="A19">
        <v>18</v>
      </c>
      <c r="B19" s="1">
        <f t="shared" si="0"/>
        <v>176.88749999999999</v>
      </c>
      <c r="F19" s="3">
        <v>38.71</v>
      </c>
      <c r="G19" s="3">
        <v>39.01</v>
      </c>
      <c r="I19" s="1">
        <v>60.12083333333333</v>
      </c>
      <c r="J19" s="6">
        <v>47.46</v>
      </c>
    </row>
    <row r="20" spans="1:10" ht="16" x14ac:dyDescent="0.35">
      <c r="A20">
        <v>19</v>
      </c>
      <c r="B20" s="1">
        <f t="shared" si="0"/>
        <v>192.36249999999998</v>
      </c>
      <c r="F20" s="2">
        <v>40.659999999999997</v>
      </c>
      <c r="G20" s="2">
        <v>51.39</v>
      </c>
      <c r="I20" s="1">
        <v>61.633333333333326</v>
      </c>
      <c r="J20" s="5">
        <v>60.17</v>
      </c>
    </row>
    <row r="21" spans="1:10" ht="16" x14ac:dyDescent="0.35">
      <c r="A21">
        <v>20</v>
      </c>
      <c r="B21" s="1">
        <f t="shared" si="0"/>
        <v>228.0625</v>
      </c>
      <c r="F21" s="3">
        <v>40.92</v>
      </c>
      <c r="G21" s="3">
        <v>79.95</v>
      </c>
      <c r="I21" s="1">
        <v>59.922500000000007</v>
      </c>
      <c r="J21" s="6">
        <v>85.59</v>
      </c>
    </row>
    <row r="22" spans="1:10" ht="16" x14ac:dyDescent="0.35">
      <c r="A22">
        <v>21</v>
      </c>
      <c r="B22" s="1">
        <f t="shared" si="0"/>
        <v>300.11250000000001</v>
      </c>
      <c r="F22" s="2">
        <v>55.44</v>
      </c>
      <c r="G22" s="2">
        <v>137.59</v>
      </c>
      <c r="I22" s="1">
        <v>53.965833333333336</v>
      </c>
      <c r="J22" s="5">
        <v>107.29</v>
      </c>
    </row>
    <row r="23" spans="1:10" ht="16" x14ac:dyDescent="0.35">
      <c r="A23">
        <v>22</v>
      </c>
      <c r="B23" s="1">
        <f t="shared" si="0"/>
        <v>260.95</v>
      </c>
      <c r="F23" s="3">
        <v>40.54</v>
      </c>
      <c r="G23" s="3">
        <v>106.26</v>
      </c>
      <c r="I23" s="1">
        <v>51.852499999999999</v>
      </c>
      <c r="J23" s="6">
        <v>98.92</v>
      </c>
    </row>
    <row r="24" spans="1:10" ht="16" x14ac:dyDescent="0.35">
      <c r="A24">
        <v>23</v>
      </c>
      <c r="B24" s="1">
        <f t="shared" si="0"/>
        <v>199.875</v>
      </c>
      <c r="F24" s="2">
        <v>35.18</v>
      </c>
      <c r="G24" s="2">
        <v>57.4</v>
      </c>
      <c r="I24" s="1">
        <v>41.043333333333337</v>
      </c>
      <c r="J24" s="5">
        <v>74.98</v>
      </c>
    </row>
    <row r="25" spans="1:10" ht="16" x14ac:dyDescent="0.35">
      <c r="A25">
        <v>24</v>
      </c>
      <c r="B25" s="1">
        <f t="shared" si="0"/>
        <v>177.35</v>
      </c>
      <c r="F25" s="3">
        <v>33.76</v>
      </c>
      <c r="G25" s="3">
        <v>39.380000000000003</v>
      </c>
      <c r="I25" s="1">
        <v>37.389166666666661</v>
      </c>
      <c r="J25" s="6">
        <v>62.07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4CC-852B-4789-B451-8627620A4A4D}">
  <dimension ref="A1:B25"/>
  <sheetViews>
    <sheetView workbookViewId="0">
      <selection activeCell="A26" sqref="A26:A145"/>
    </sheetView>
  </sheetViews>
  <sheetFormatPr defaultRowHeight="14.5" x14ac:dyDescent="0.35"/>
  <sheetData>
    <row r="1" spans="1:2" x14ac:dyDescent="0.35">
      <c r="B1" t="s">
        <v>8</v>
      </c>
    </row>
    <row r="2" spans="1:2" x14ac:dyDescent="0.35">
      <c r="A2">
        <v>1</v>
      </c>
      <c r="B2">
        <v>0.86600447950141202</v>
      </c>
    </row>
    <row r="3" spans="1:2" x14ac:dyDescent="0.35">
      <c r="A3">
        <v>2</v>
      </c>
      <c r="B3">
        <v>0.86425163112279679</v>
      </c>
    </row>
    <row r="4" spans="1:2" x14ac:dyDescent="0.35">
      <c r="A4">
        <v>3</v>
      </c>
      <c r="B4">
        <v>0.83854318823643981</v>
      </c>
    </row>
    <row r="5" spans="1:2" x14ac:dyDescent="0.35">
      <c r="A5">
        <v>4</v>
      </c>
      <c r="B5">
        <v>0.83844580777096112</v>
      </c>
    </row>
    <row r="6" spans="1:2" x14ac:dyDescent="0.35">
      <c r="A6">
        <v>5</v>
      </c>
      <c r="B6">
        <v>0.84068555847696957</v>
      </c>
    </row>
    <row r="7" spans="1:2" x14ac:dyDescent="0.35">
      <c r="A7">
        <v>6</v>
      </c>
      <c r="B7">
        <v>0.85977212971077999</v>
      </c>
    </row>
    <row r="8" spans="1:2" x14ac:dyDescent="0.35">
      <c r="A8">
        <v>7</v>
      </c>
      <c r="B8">
        <v>0.95053072353685852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0.9897750511247444</v>
      </c>
    </row>
    <row r="11" spans="1:2" x14ac:dyDescent="0.35">
      <c r="A11">
        <v>10</v>
      </c>
      <c r="B11">
        <v>0.95861330217158436</v>
      </c>
    </row>
    <row r="12" spans="1:2" x14ac:dyDescent="0.35">
      <c r="A12">
        <v>11</v>
      </c>
      <c r="B12">
        <v>0.93358652254357777</v>
      </c>
    </row>
    <row r="13" spans="1:2" x14ac:dyDescent="0.35">
      <c r="A13">
        <v>12</v>
      </c>
      <c r="B13">
        <v>0.91245496153471617</v>
      </c>
    </row>
    <row r="14" spans="1:2" x14ac:dyDescent="0.35">
      <c r="A14">
        <v>13</v>
      </c>
      <c r="B14">
        <v>0.90719641639887039</v>
      </c>
    </row>
    <row r="15" spans="1:2" x14ac:dyDescent="0.35">
      <c r="A15">
        <v>14</v>
      </c>
      <c r="B15">
        <v>0.90086668614275978</v>
      </c>
    </row>
    <row r="16" spans="1:2" x14ac:dyDescent="0.35">
      <c r="A16">
        <v>15</v>
      </c>
      <c r="B16">
        <v>0.90378810010711852</v>
      </c>
    </row>
    <row r="17" spans="1:2" x14ac:dyDescent="0.35">
      <c r="A17">
        <v>16</v>
      </c>
      <c r="B17">
        <v>0.90865712338104976</v>
      </c>
    </row>
    <row r="18" spans="1:2" x14ac:dyDescent="0.35">
      <c r="A18">
        <v>17</v>
      </c>
      <c r="B18">
        <v>0.92404323692667256</v>
      </c>
    </row>
    <row r="19" spans="1:2" x14ac:dyDescent="0.35">
      <c r="A19">
        <v>18</v>
      </c>
      <c r="B19">
        <v>0.95053072353685852</v>
      </c>
    </row>
    <row r="20" spans="1:2" x14ac:dyDescent="0.35">
      <c r="A20">
        <v>19</v>
      </c>
      <c r="B20">
        <v>0.96211899892881492</v>
      </c>
    </row>
    <row r="21" spans="1:2" x14ac:dyDescent="0.35">
      <c r="A21">
        <v>20</v>
      </c>
      <c r="B21">
        <v>0.95822378030966993</v>
      </c>
    </row>
    <row r="22" spans="1:2" x14ac:dyDescent="0.35">
      <c r="A22">
        <v>21</v>
      </c>
      <c r="B22">
        <v>0.94605122212484172</v>
      </c>
    </row>
    <row r="23" spans="1:2" x14ac:dyDescent="0.35">
      <c r="A23">
        <v>22</v>
      </c>
      <c r="B23">
        <v>0.94975167981302955</v>
      </c>
    </row>
    <row r="24" spans="1:2" x14ac:dyDescent="0.35">
      <c r="A24">
        <v>23</v>
      </c>
      <c r="B24">
        <v>0.90885188431200703</v>
      </c>
    </row>
    <row r="25" spans="1:2" x14ac:dyDescent="0.35">
      <c r="A25">
        <v>24</v>
      </c>
      <c r="B25">
        <v>0.86171973902035248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ParkingData</vt:lpstr>
      <vt:lpstr>ParkingData_ver2</vt:lpstr>
      <vt:lpstr>ParkingData_ver4</vt:lpstr>
      <vt:lpstr>ParkingData_ver5</vt:lpstr>
      <vt:lpstr>Sheet1</vt:lpstr>
      <vt:lpstr>electricicty_price</vt:lpstr>
      <vt:lpstr>DemandPattern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 Najafi</dc:creator>
  <cp:lastModifiedBy>Arsalan Najafi</cp:lastModifiedBy>
  <dcterms:created xsi:type="dcterms:W3CDTF">2015-06-05T18:17:20Z</dcterms:created>
  <dcterms:modified xsi:type="dcterms:W3CDTF">2025-08-07T09:16:38Z</dcterms:modified>
</cp:coreProperties>
</file>